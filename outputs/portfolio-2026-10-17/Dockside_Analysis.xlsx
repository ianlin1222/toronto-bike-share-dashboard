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3f122b3f5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b0462e17644426c"/>
    <x:sheet xmlns:r="http://schemas.openxmlformats.org/officeDocument/2006/relationships" name="Stations" sheetId="2" r:id="Rbd8d2de1296245ee"/>
    <x:sheet xmlns:r="http://schemas.openxmlformats.org/officeDocument/2006/relationships" name="Daily coverage" sheetId="3" r:id="Rbc1af07b8d30439e"/>
    <x:sheet xmlns:r="http://schemas.openxmlformats.org/officeDocument/2006/relationships" name="Time patterns" sheetId="4" r:id="R1162328e947b4e6e"/>
    <x:sheet xmlns:r="http://schemas.openxmlformats.org/officeDocument/2006/relationships" name="Nearby alternatives" sheetId="5" r:id="R612824cca86c4100"/>
    <x:sheet xmlns:r="http://schemas.openxmlformats.org/officeDocument/2006/relationships" name="Source QA" sheetId="6" r:id="R202e52df451e40c2"/>
    <x:sheet xmlns:r="http://schemas.openxmlformats.org/officeDocument/2006/relationships" name="Read Me" sheetId="7" r:id="R15c171ef703a4bda"/>
  </x:sheets>
  <x:definedNames>
    <x:definedName name="StationIDs">'Stations'!B7:B1081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@"/>
    <x:numFmt numFmtId="203" formatCode="0.0"/>
    <x:numFmt numFmtId="204" formatCode="yyyy-mm-dd"/>
    <x:numFmt numFmtId="205" formatCode="0"/>
  </x:numFmts>
  <x:fonts count="5">
    <x:font>
      <x:sz val="11"/>
      <x:name val="Carlito"/>
    </x:font>
    <x:font>
      <x:sz val="11"/>
      <x:color rgb="FF243A35"/>
      <x:name val="Arial"/>
    </x:font>
    <x:font>
      <x:b/>
      <x:sz val="17"/>
      <x:color rgb="FF173B32"/>
      <x:name val="Arial"/>
    </x:font>
    <x:font>
      <x:i/>
      <x:sz val="11"/>
      <x:color rgb="FF64756C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32"/>
      </x:patternFill>
    </x:fill>
    <x:fill>
      <x:patternFill patternType="solid">
        <x:fgColor rgb="FFFFF0D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87D65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3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B2920"/>
      </x:font>
      <x:fill>
        <x:patternFill patternType="solid">
          <x:bgColor rgb="FFFDE2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ff3ef222345c9" /><Relationship Type="http://schemas.openxmlformats.org/officeDocument/2006/relationships/theme" Target="/xl/theme/theme1.xml" Id="Re58a9481c0f540b9" /><Relationship Type="http://schemas.openxmlformats.org/officeDocument/2006/relationships/sharedStrings" Target="/xl/sharedStrings.xml" Id="R47458174ebc645d3" /><Relationship Type="http://schemas.openxmlformats.org/officeDocument/2006/relationships/worksheet" Target="/xl/worksheets/sheet1.xml" Id="R8b0462e17644426c" /><Relationship Type="http://schemas.openxmlformats.org/officeDocument/2006/relationships/worksheet" Target="/xl/worksheets/sheet2.xml" Id="Rbd8d2de1296245ee" /><Relationship Type="http://schemas.openxmlformats.org/officeDocument/2006/relationships/worksheet" Target="/xl/worksheets/sheet3.xml" Id="Rbc1af07b8d30439e" /><Relationship Type="http://schemas.openxmlformats.org/officeDocument/2006/relationships/worksheet" Target="/xl/worksheets/sheet4.xml" Id="R1162328e947b4e6e" /><Relationship Type="http://schemas.openxmlformats.org/officeDocument/2006/relationships/worksheet" Target="/xl/worksheets/sheet5.xml" Id="R612824cca86c4100" /><Relationship Type="http://schemas.openxmlformats.org/officeDocument/2006/relationships/worksheet" Target="/xl/worksheets/sheet6.xml" Id="R202e52df451e40c2" /><Relationship Type="http://schemas.openxmlformats.org/officeDocument/2006/relationships/worksheet" Target="/xl/worksheets/sheet7.xml" Id="R15c171ef703a4b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8e068208744db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c8e58f246d54e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Collection coverage by date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Successful polls / expected</c:v>
          </c:tx>
          <c:spPr>
            <a:solidFill xmlns:a="http://schemas.openxmlformats.org/drawingml/2006/main">
              <a:srgbClr val="287D65"/>
            </a:solidFill>
          </c:spPr>
          <c:invertIfNegative val="0"/>
          <c:cat>
            <c:strRef>
              <c:f>'Overview'!$B$36:$B$67</c:f>
              <c:strCache>
                <c:ptCount val="0"/>
              </c:strCache>
            </c:strRef>
          </c:cat>
          <c:val>
            <c:numRef>
              <c:f>'Overview'!$C$36:$C$67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Availability in observed reports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Availability</c:v>
          </c:tx>
          <c:spPr>
            <a:solidFill xmlns:a="http://schemas.openxmlformats.org/drawingml/2006/main">
              <a:srgbClr val="287D65"/>
            </a:solidFill>
          </c:spPr>
          <c:invertIfNegative val="0"/>
          <c:cat>
            <c:strRef>
              <c:f>'Time patterns'!$L$9:$L$32</c:f>
              <c:strCache>
                <c:ptCount val="0"/>
              </c:strCache>
            </c:strRef>
          </c:cat>
          <c:val>
            <c:numRef>
              <c:f>'Time patterns'!$M$9:$M$32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8e068208744db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5</xdr:row>
      <xdr:rowOff>0</xdr:rowOff>
    </xdr:from>
    <xdr:to>
      <xdr:col>24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8e58f246d54e8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StationAnalysis" displayName="StationAnalysis" ref="B6:M1081" headerRowCount="1" totalsRowCount="0" totalsRowShown="0">
  <x:autoFilter ref="B6:M1081"/>
  <x:tableColumns count="12">
    <x:tableColumn id="1" name="Station ID"/>
    <x:tableColumn id="2" name="Station name"/>
    <x:tableColumn id="3" name="Reports"/>
    <x:tableColumn id="4" name="Available"/>
    <x:tableColumn id="5" name="Full"/>
    <x:tableColumn id="6" name="Dates"/>
    <x:tableColumn id="7" name="Hours"/>
    <x:tableColumn id="8" name="Docks sum"/>
    <x:tableColumn id="9" name="Availability"/>
    <x:tableColumn id="10" name="Full rate"/>
    <x:tableColumn id="11" name="Mean docks"/>
    <x:tableColumn id="12" name="Ranking suppor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DailyCoverage" displayName="DailyCoverage" ref="B6:M38" headerRowCount="1" totalsRowCount="0" totalsRowShown="0">
  <x:autoFilter ref="B6:M38"/>
  <x:tableColumns count="12">
    <x:tableColumn id="1" name="Date"/>
    <x:tableColumn id="2" name="Expected polls"/>
    <x:tableColumn id="3" name="Attempted"/>
    <x:tableColumn id="4" name="Successful"/>
    <x:tableColumn id="5" name="Partial"/>
    <x:tableColumn id="6" name="Failed"/>
    <x:tableColumn id="7" name="Reports"/>
    <x:tableColumn id="8" name="Available"/>
    <x:tableColumn id="9" name="Docks sum"/>
    <x:tableColumn id="10" name="Stations"/>
    <x:tableColumn id="11" name="Poll coverage"/>
    <x:tableColumn id="12" name="Availa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TimePatterns" displayName="TimePatterns" ref="B6:J51" headerRowCount="1" totalsRowCount="0" totalsRowShown="0">
  <x:autoFilter ref="B6:J51"/>
  <x:tableColumns count="9">
    <x:tableColumn id="1" name="Hour"/>
    <x:tableColumn id="2" name="Day type"/>
    <x:tableColumn id="3" name="Reports"/>
    <x:tableColumn id="4" name="Available"/>
    <x:tableColumn id="5" name="Docks sum"/>
    <x:tableColumn id="6" name="Observed dates"/>
    <x:tableColumn id="7" name="Stations"/>
    <x:tableColumn id="8" name="Availability"/>
    <x:tableColumn id="9" name="Mean doc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NearbyComparison" displayName="NearbyComparison" ref="B6:H16" headerRowCount="1" totalsRowCount="0" totalsRowShown="0">
  <x:autoFilter ref="B6:H16"/>
  <x:tableColumns count="7">
    <x:tableColumn id="1" name="Station ID"/>
    <x:tableColumn id="2" name="Full reports"/>
    <x:tableColumn id="3" name="Matched nearby"/>
    <x:tableColumn id="4" name="Nearby with dock"/>
    <x:tableColumn id="5" name="Matched share"/>
    <x:tableColumn id="6" name="Nearby availability"/>
    <x:tableColumn id="7" name="Mean distance (m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QualityCounts" displayName="QualityCounts" ref="B6:C31" headerRowCount="1" totalsRowCount="0" totalsRowShown="0">
  <x:autoFilter ref="B6:C31"/>
  <x:tableColumns count="2">
    <x:tableColumn id="1" name="SQL metric"/>
    <x:tableColumn id="2" name="C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" name="FreshnessSensitivity" displayName="FreshnessSensitivity" ref="B35:E38" headerRowCount="1" totalsRowCount="0" totalsRowShown="0">
  <x:autoFilter ref="B35:E38"/>
  <x:tableColumns count="4">
    <x:tableColumn id="1" name="Freshness limit (s)"/>
    <x:tableColumn id="2" name="Eligible reports"/>
    <x:tableColumn id="3" name="Available reports"/>
    <x:tableColumn id="4" name="Availabil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flictSensitivity" displayName="ConflictSensitivity" ref="B49:E50" headerRowCount="1" totalsRowCount="0" totalsRowShown="0">
  <x:autoFilter ref="B49:E50"/>
  <x:tableColumns count="4">
    <x:tableColumn id="1" name="Rule"/>
    <x:tableColumn id="2" name="Reports"/>
    <x:tableColumn id="3" name="Available"/>
    <x:tableColumn id="4" name="Availabil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uarantineReasons" displayName="QuarantineReasons" ref="B55:C56" headerRowCount="1" totalsRowCount="0" totalsRowShown="0">
  <x:autoFilter ref="B55:C56"/>
  <x:tableColumns count="2">
    <x:tableColumn id="1" name="Reason"/>
    <x:tableColumn id="2" name="Recor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0cea3df37f49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692f559c064b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eb14fe12b34c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76ac28c287a147a3" /><Relationship Type="http://schemas.openxmlformats.org/officeDocument/2006/relationships/table" Target="/xl/tables/table3.xml" Id="R2d162d5556b746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62ee521bb141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87f2c1727a45ca" /><Relationship Type="http://schemas.openxmlformats.org/officeDocument/2006/relationships/table" Target="/xl/tables/table6.xml" Id="R9b50abc28a994edc" /><Relationship Type="http://schemas.openxmlformats.org/officeDocument/2006/relationships/table" Target="/xl/tables/table7.xml" Id="Re93743cf7c9a486a" /><Relationship Type="http://schemas.openxmlformats.org/officeDocument/2006/relationships/table" Target="/xl/tables/table8.xml" Id="R1f0c15665dfe41bc" /></Relationships>
</file>

<file path=xl/worksheets/sheet1.xml><?xml version="1.0" encoding="utf-8"?>
<x:worksheet xmlns:x="http://schemas.openxmlformats.org/spreadsheetml/2006/main">
  <x:sheetPr>
    <x:tabColor rgb="FF173B32"/>
  </x:sheetPr>
  <x:sheetViews>
    <x:sheetView showGridLines="0" workbookViewId="0"/>
  </x:sheetViews>
  <x:sheetFormatPr defaultRowHeight="15"/>
  <x:cols>
    <x:col min="1" max="1" width="3" hidden="0" customWidth="1"/>
    <x:col min="2" max="2" width="37" hidden="0" customWidth="1"/>
    <x:col min="3" max="3" width="2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1" customHeight="1">
      <x:c r="A2" s="1"/>
      <x:c r="B2" s="2" t="str">
        <x:v>Dockside analytical case study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1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1"/>
      <x:c r="O3" s="1"/>
      <x:c r="P3" s="1"/>
    </x:row>
    <x:row r="4" ht="21" customHeight="1">
      <x:c r="A4" s="1"/>
      <x:c r="B4" s="4" t="str">
        <x:v>September 16 - October 17, 2026. Exploratory analysis of incomplete collected history.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1" customHeight="1">
      <x:c r="A6" s="1"/>
      <x:c r="B6" s="1" t="str">
        <x:v>Fresh unique operational reports</x:v>
      </x:c>
      <x:c r="C6" s="20" t="n">
        <x:f>SUM('Stations'!D7:D1081)</x:f>
        <x:v>840283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1" customHeight="1">
      <x:c r="A7" s="1"/>
      <x:c r="B7" s="1" t="str">
        <x:v>Observed dock availability</x:v>
      </x:c>
      <x:c r="C7" s="17" t="n">
        <x:f>SUM('Stations'!E7:E1081)/C6</x:f>
        <x:v>0.9406188153276932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1" customHeight="1">
      <x:c r="A8" s="1"/>
      <x:c r="B8" s="1" t="str">
        <x:v>Successful poll coverage</x:v>
      </x:c>
      <x:c r="C8" s="17" t="n">
        <x:f>SUM('Daily coverage'!E7:E38)/SUM('Daily coverage'!C7:C38)</x:f>
        <x:v>0.0337563166760247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1" customHeight="1">
      <x:c r="A9" s="1"/>
      <x:c r="B9" s="1" t="str">
        <x:v>Observed dates</x:v>
      </x:c>
      <x:c r="C9" s="20" t="n">
        <x:f>'Source QA'!C20</x:f>
        <x:v>11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1" customHeight="1">
      <x:c r="A10" s="1"/>
      <x:c r="B10" s="1" t="str">
        <x:v>Stations represented</x:v>
      </x:c>
      <x:c r="C10" s="20" t="n">
        <x:f>'Source QA'!C19</x:f>
        <x:v>1075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1" customHeight="1">
      <x:c r="A12" s="1"/>
      <x:c r="B12" s="1" t="str">
        <x:v>Availability is conditional on observed fresh operational reports, not elapsed time or rider success.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1" customHeight="1">
      <x:c r="A14" s="1"/>
      <x:c r="B14" s="1" t="str">
        <x:v>Explore a station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1" customHeight="1">
      <x:c r="A15" s="1"/>
      <x:c r="B15" s="1" t="str">
        <x:v>Station ID (editable)</x:v>
      </x:c>
      <x:c r="C15" s="22" t="str">
        <x:v>7000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1" customHeight="1">
      <x:c r="A16" s="1"/>
      <x:c r="B16" s="1" t="str">
        <x:v>Name</x:v>
      </x:c>
      <x:c r="C16" s="1" t="str">
        <x:f>IF(COUNTIFS('Stations'!$B$7:$B$1081,$C$15)=0,"Unknown ID",INDEX('Stations'!$C$7:$C$1081,MATCH($C$15,'Stations'!$B$7:$B$1081,0)))</x:f>
        <x:v>Fort York  Blvd / Capreol Ct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1" customHeight="1">
      <x:c r="A17" s="1"/>
      <x:c r="B17" s="1" t="str">
        <x:v>Reports</x:v>
      </x:c>
      <x:c r="C17" s="1" t="n">
        <x:f>IF(COUNTIFS('Stations'!$B$7:$B$1081,$C$15)=0,"Unknown ID",INDEX('Stations'!$D$7:$D$1081,MATCH($C$15,'Stations'!$B$7:$B$1081,0)))</x:f>
        <x:v>783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1" customHeight="1">
      <x:c r="A18" s="1"/>
      <x:c r="B18" s="1" t="str">
        <x:v>Availability</x:v>
      </x:c>
      <x:c r="C18" s="17" t="n">
        <x:f>IF(COUNTIFS('Stations'!$B$7:$B$1081,$C$15)=0,"Unknown ID",INDEX('Stations'!$J$7:$J$1081,MATCH($C$15,'Stations'!$B$7:$B$1081,0)))</x:f>
        <x:v>0.9540229885057471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1" customHeight="1">
      <x:c r="A19" s="1"/>
      <x:c r="B19" s="1" t="str">
        <x:v>Full rate</x:v>
      </x:c>
      <x:c r="C19" s="17" t="n">
        <x:f>IF(COUNTIFS('Stations'!$B$7:$B$1081,$C$15)=0,"Unknown ID",INDEX('Stations'!$K$7:$K$1081,MATCH($C$15,'Stations'!$B$7:$B$1081,0)))</x:f>
        <x:v>0.04597701149425287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1" customHeight="1">
      <x:c r="A20" s="1"/>
      <x:c r="B20" s="1" t="str">
        <x:v>Observed dates</x:v>
      </x:c>
      <x:c r="C20" s="1" t="n">
        <x:f>IF(COUNTIFS('Stations'!$B$7:$B$1081,$C$15)=0,"Unknown ID",INDEX('Stations'!$G$7:$G$1081,MATCH($C$15,'Stations'!$B$7:$B$1081,0)))</x:f>
        <x:v>11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1" customHeight="1">
      <x:c r="A21" s="1"/>
      <x:c r="B21" s="1" t="str">
        <x:v>Mean docks</x:v>
      </x:c>
      <x:c r="C21" s="23" t="n">
        <x:f>IF(COUNTIFS('Stations'!$B$7:$B$1081,$C$15)=0,"Unknown ID",INDEX('Stations'!$L$7:$L$1081,MATCH($C$15,'Stations'!$B$7:$B$1081,0)))</x:f>
        <x:v>23.513409961685824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1" customHeight="1">
      <x:c r="A24" s="1"/>
      <x:c r="B24" s="1" t="str">
        <x:v>Interpretation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1" customHeight="1">
      <x:c r="A26" s="1"/>
      <x:c r="B26" s="1" t="str">
        <x:v>Missing collection dominates the limitations. Do not rank stations as year-round reliable.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1" customHeight="1">
      <x:c r="A28" s="1"/>
      <x:c r="B28" s="1" t="str">
        <x:v>Use current fresh station reports for an actual trip. This workbook is a frozen analysis.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1" customHeight="1">
      <x:c r="A30" s="1"/>
      <x:c r="B30" s="1" t="str">
        <x:v>Controls: change the amber station ID; filter station tables; choose weekday/weekend on Time patterns.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1" customHeight="1">
      <x:c r="A35" s="1"/>
      <x:c r="B35" s="1" t="str">
        <x:v>Toronto date</x:v>
      </x:c>
      <x:c r="C35" s="1" t="str">
        <x:v>Successful polls / expected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1" customHeight="1">
      <x:c r="A36" s="1"/>
      <x:c r="B36" s="1" t="str">
        <x:v>09-16</x:v>
      </x:c>
      <x:c r="C36" s="17" t="n">
        <x:f>'Daily coverage'!L7</x:f>
        <x:v>0.1706422018348624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1" customHeight="1">
      <x:c r="A37" s="1"/>
      <x:c r="B37" s="1" t="str">
        <x:v>09-17</x:v>
      </x:c>
      <x:c r="C37" s="17" t="n">
        <x:f>'Daily coverage'!L8</x:f>
        <x:v>0.08541666666666667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1" customHeight="1">
      <x:c r="A38" s="1"/>
      <x:c r="B38" s="1" t="str">
        <x:v>09-18</x:v>
      </x:c>
      <x:c r="C38" s="17" t="n">
        <x:f>'Daily coverage'!L9</x:f>
        <x:v>0.2125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1" customHeight="1">
      <x:c r="A39" s="1"/>
      <x:c r="B39" s="1" t="str">
        <x:v>09-19</x:v>
      </x:c>
      <x:c r="C39" s="17" t="n">
        <x:f>'Daily coverage'!L10</x:f>
        <x:v>0.16180555555555556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1" customHeight="1">
      <x:c r="A40" s="1"/>
      <x:c r="B40" s="1" t="str">
        <x:v>09-20</x:v>
      </x:c>
      <x:c r="C40" s="17" t="n">
        <x:f>'Daily coverage'!L11</x:f>
        <x:v>0.03125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1" customHeight="1">
      <x:c r="A41" s="1"/>
      <x:c r="B41" s="1" t="str">
        <x:v>09-21</x:v>
      </x:c>
      <x:c r="C41" s="17" t="n">
        <x:f>'Daily coverage'!L12</x:f>
        <x:v>0.006944444444444444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1" customHeight="1">
      <x:c r="A42" s="1"/>
      <x:c r="B42" s="1" t="str">
        <x:v>09-22</x:v>
      </x:c>
      <x:c r="C42" s="17" t="n">
        <x:f>'Daily coverage'!L13</x:f>
        <x:v>0.18680555555555556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1" customHeight="1">
      <x:c r="A43" s="1"/>
      <x:c r="B43" s="1" t="str">
        <x:v>09-23</x:v>
      </x:c>
      <x:c r="C43" s="17" t="n">
        <x:f>'Daily coverage'!L14</x:f>
        <x:v>0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1" customHeight="1">
      <x:c r="A44" s="1"/>
      <x:c r="B44" s="1" t="str">
        <x:v>09-24</x:v>
      </x:c>
      <x:c r="C44" s="17" t="n">
        <x:f>'Daily coverage'!L15</x:f>
        <x:v>0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1" customHeight="1">
      <x:c r="A45" s="1"/>
      <x:c r="B45" s="1" t="str">
        <x:v>09-25</x:v>
      </x:c>
      <x:c r="C45" s="17" t="n">
        <x:f>'Daily coverage'!L16</x:f>
        <x:v>0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B46" t="str">
        <x:v>09-26</x:v>
      </x:c>
      <x:c r="C46" s="24" t="n">
        <x:f>'Daily coverage'!L17</x:f>
        <x:v>0</x:v>
      </x:c>
    </x:row>
    <x:row r="47">
      <x:c r="B47" t="str">
        <x:v>09-27</x:v>
      </x:c>
      <x:c r="C47" s="24" t="n">
        <x:f>'Daily coverage'!L18</x:f>
        <x:v>0</x:v>
      </x:c>
    </x:row>
    <x:row r="48">
      <x:c r="B48" t="str">
        <x:v>09-28</x:v>
      </x:c>
      <x:c r="C48" s="24" t="n">
        <x:f>'Daily coverage'!L19</x:f>
        <x:v>0</x:v>
      </x:c>
    </x:row>
    <x:row r="49">
      <x:c r="B49" t="str">
        <x:v>09-29</x:v>
      </x:c>
      <x:c r="C49" s="24" t="n">
        <x:f>'Daily coverage'!L20</x:f>
        <x:v>0</x:v>
      </x:c>
    </x:row>
    <x:row r="50">
      <x:c r="B50" t="str">
        <x:v>09-30</x:v>
      </x:c>
      <x:c r="C50" s="24" t="n">
        <x:f>'Daily coverage'!L21</x:f>
        <x:v>0</x:v>
      </x:c>
    </x:row>
    <x:row r="51">
      <x:c r="B51" t="str">
        <x:v>10-01</x:v>
      </x:c>
      <x:c r="C51" s="24" t="n">
        <x:f>'Daily coverage'!L22</x:f>
        <x:v>0</x:v>
      </x:c>
    </x:row>
    <x:row r="52">
      <x:c r="B52" t="str">
        <x:v>10-02</x:v>
      </x:c>
      <x:c r="C52" s="24" t="n">
        <x:f>'Daily coverage'!L23</x:f>
        <x:v>0</x:v>
      </x:c>
    </x:row>
    <x:row r="53">
      <x:c r="B53" t="str">
        <x:v>10-03</x:v>
      </x:c>
      <x:c r="C53" s="24" t="n">
        <x:f>'Daily coverage'!L24</x:f>
        <x:v>0</x:v>
      </x:c>
    </x:row>
    <x:row r="54">
      <x:c r="B54" t="str">
        <x:v>10-04</x:v>
      </x:c>
      <x:c r="C54" s="24" t="n">
        <x:f>'Daily coverage'!L25</x:f>
        <x:v>0</x:v>
      </x:c>
    </x:row>
    <x:row r="55">
      <x:c r="B55" t="str">
        <x:v>10-05</x:v>
      </x:c>
      <x:c r="C55" s="24" t="n">
        <x:f>'Daily coverage'!L26</x:f>
        <x:v>0</x:v>
      </x:c>
    </x:row>
    <x:row r="56">
      <x:c r="B56" t="str">
        <x:v>10-06</x:v>
      </x:c>
      <x:c r="C56" s="24" t="n">
        <x:f>'Daily coverage'!L27</x:f>
        <x:v>0</x:v>
      </x:c>
    </x:row>
    <x:row r="57">
      <x:c r="B57" t="str">
        <x:v>10-07</x:v>
      </x:c>
      <x:c r="C57" s="24" t="n">
        <x:f>'Daily coverage'!L28</x:f>
        <x:v>0</x:v>
      </x:c>
    </x:row>
    <x:row r="58">
      <x:c r="B58" t="str">
        <x:v>10-08</x:v>
      </x:c>
      <x:c r="C58" s="24" t="n">
        <x:f>'Daily coverage'!L29</x:f>
        <x:v>0</x:v>
      </x:c>
    </x:row>
    <x:row r="59">
      <x:c r="B59" t="str">
        <x:v>10-09</x:v>
      </x:c>
      <x:c r="C59" s="24" t="n">
        <x:f>'Daily coverage'!L30</x:f>
        <x:v>0</x:v>
      </x:c>
    </x:row>
    <x:row r="60">
      <x:c r="B60" t="str">
        <x:v>10-10</x:v>
      </x:c>
      <x:c r="C60" s="24" t="n">
        <x:f>'Daily coverage'!L31</x:f>
        <x:v>0</x:v>
      </x:c>
    </x:row>
    <x:row r="61">
      <x:c r="B61" t="str">
        <x:v>10-11</x:v>
      </x:c>
      <x:c r="C61" s="24" t="n">
        <x:f>'Daily coverage'!L32</x:f>
        <x:v>0</x:v>
      </x:c>
    </x:row>
    <x:row r="62">
      <x:c r="B62" t="str">
        <x:v>10-12</x:v>
      </x:c>
      <x:c r="C62" s="24" t="n">
        <x:f>'Daily coverage'!L33</x:f>
        <x:v>0</x:v>
      </x:c>
    </x:row>
    <x:row r="63">
      <x:c r="B63" t="str">
        <x:v>10-13</x:v>
      </x:c>
      <x:c r="C63" s="24" t="n">
        <x:f>'Daily coverage'!L34</x:f>
        <x:v>0</x:v>
      </x:c>
    </x:row>
    <x:row r="64">
      <x:c r="B64" t="str">
        <x:v>10-14</x:v>
      </x:c>
      <x:c r="C64" s="24" t="n">
        <x:f>'Daily coverage'!L35</x:f>
        <x:v>0.11527777777777778</x:v>
      </x:c>
    </x:row>
    <x:row r="65">
      <x:c r="B65" t="str">
        <x:v>10-15</x:v>
      </x:c>
      <x:c r="C65" s="24" t="n">
        <x:f>'Daily coverage'!L36</x:f>
        <x:v>0.059027777777777776</x:v>
      </x:c>
    </x:row>
    <x:row r="66">
      <x:c r="B66" t="str">
        <x:v>10-16</x:v>
      </x:c>
      <x:c r="C66" s="24" t="n">
        <x:f>'Daily coverage'!L37</x:f>
        <x:v>0.04722222222222222</x:v>
      </x:c>
    </x:row>
    <x:row r="67">
      <x:c r="B67" t="str">
        <x:v>10-17</x:v>
      </x:c>
      <x:c r="C67" s="24" t="n">
        <x:f>'Daily coverage'!L38</x:f>
        <x:v>0.1346153846153846</x:v>
      </x:c>
    </x:row>
  </x:sheetData>
  <x:dataValidations count="1">
    <x:dataValidation type="list" sqref="C15">
      <x:formula1>StationIDs</x:formula1>
    </x:dataValidation>
  </x:dataValidations>
  <x:pageMargins left="0.7" right="0.7" top="0.75" bottom="0.75" header="0.3" footer="0.3"/>
  <x:drawing xmlns:r="http://schemas.openxmlformats.org/officeDocument/2006/relationships" r:id="R760cea3df37f498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14" hidden="0" customWidth="1"/>
    <x:col min="3" max="3" width="47" hidden="0" customWidth="1"/>
    <x:col min="4" max="4" width="15" hidden="0" customWidth="1"/>
    <x:col min="5" max="5" width="15" hidden="0" customWidth="1"/>
    <x:col min="6" max="6" width="14" hidden="0" customWidth="1"/>
    <x:col min="7" max="7" width="12" hidden="0" customWidth="1"/>
    <x:col min="8" max="8" width="12" hidden="0" customWidth="1"/>
    <x:col min="9" max="9" width="17" hidden="0" customWidth="1"/>
    <x:col min="10" max="10" width="17" hidden="0" customWidth="1"/>
    <x:col min="11" max="11" width="16" hidden="0" customWidth="1"/>
    <x:col min="12" max="12" width="16" hidden="0" customWidth="1"/>
    <x:col min="13" max="13" width="20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1" customHeight="1">
      <x:c r="A2" s="1"/>
      <x:c r="B2" s="2" t="str">
        <x:v>Station analysis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1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1"/>
      <x:c r="O3" s="1"/>
      <x:c r="P3" s="1"/>
    </x:row>
    <x:row r="4" ht="21" customHeight="1">
      <x:c r="A4" s="1"/>
      <x:c r="B4" s="4" t="str">
        <x:v>Filter the table. Ranking support: 100 unique reports on at least 5 observed dates.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0" customHeight="1">
      <x:c r="A6" s="1"/>
      <x:c r="B6" s="10" t="str">
        <x:v>Station ID</x:v>
      </x:c>
      <x:c r="C6" s="10" t="str">
        <x:v>Station name</x:v>
      </x:c>
      <x:c r="D6" s="10" t="str">
        <x:v>Reports</x:v>
      </x:c>
      <x:c r="E6" s="10" t="str">
        <x:v>Available</x:v>
      </x:c>
      <x:c r="F6" s="10" t="str">
        <x:v>Full</x:v>
      </x:c>
      <x:c r="G6" s="10" t="str">
        <x:v>Dates</x:v>
      </x:c>
      <x:c r="H6" s="10" t="str">
        <x:v>Hours</x:v>
      </x:c>
      <x:c r="I6" s="10" t="str">
        <x:v>Docks sum</x:v>
      </x:c>
      <x:c r="J6" s="10" t="str">
        <x:v>Availability</x:v>
      </x:c>
      <x:c r="K6" s="10" t="str">
        <x:v>Full rate</x:v>
      </x:c>
      <x:c r="L6" s="10" t="str">
        <x:v>Mean docks</x:v>
      </x:c>
      <x:c r="M6" s="10" t="str">
        <x:v>Ranking support</x:v>
      </x:c>
      <x:c r="N6" s="1"/>
      <x:c r="O6" s="1"/>
      <x:c r="P6" s="1"/>
    </x:row>
    <x:row r="7" ht="23" customHeight="1">
      <x:c r="A7" s="1"/>
      <x:c r="B7" s="12" t="str">
        <x:v>7000</x:v>
      </x:c>
      <x:c r="C7" s="6" t="str">
        <x:v>Fort York  Blvd / Capreol Ct</x:v>
      </x:c>
      <x:c r="D7" s="6" t="n">
        <x:v>783</x:v>
      </x:c>
      <x:c r="E7" s="6" t="n">
        <x:v>747</x:v>
      </x:c>
      <x:c r="F7" s="6" t="n">
        <x:v>36</x:v>
      </x:c>
      <x:c r="G7" s="6" t="n">
        <x:v>11</x:v>
      </x:c>
      <x:c r="H7" s="6" t="n">
        <x:v>115</x:v>
      </x:c>
      <x:c r="I7" s="6" t="n">
        <x:v>18411</x:v>
      </x:c>
      <x:c r="J7" s="11" t="n">
        <x:f>E7/D7</x:f>
        <x:v>0.9540229885057471</x:v>
      </x:c>
      <x:c r="K7" s="11" t="n">
        <x:f>F7/D7</x:f>
        <x:v>0.04597701149425287</x:v>
      </x:c>
      <x:c r="L7" s="13" t="n">
        <x:f>I7/D7</x:f>
        <x:v>23.513409961685824</x:v>
      </x:c>
      <x:c r="M7" s="6" t="str">
        <x:v>Included</x:v>
      </x:c>
      <x:c r="N7" s="1"/>
      <x:c r="O7" s="1"/>
      <x:c r="P7" s="1"/>
    </x:row>
    <x:row r="8" ht="23" customHeight="1">
      <x:c r="A8" s="1"/>
      <x:c r="B8" s="12" t="str">
        <x:v>7001</x:v>
      </x:c>
      <x:c r="C8" s="6" t="str">
        <x:v>Wellesley Station Green P</x:v>
      </x:c>
      <x:c r="D8" s="6" t="n">
        <x:v>795</x:v>
      </x:c>
      <x:c r="E8" s="6" t="n">
        <x:v>776</x:v>
      </x:c>
      <x:c r="F8" s="6" t="n">
        <x:v>19</x:v>
      </x:c>
      <x:c r="G8" s="6" t="n">
        <x:v>11</x:v>
      </x:c>
      <x:c r="H8" s="6" t="n">
        <x:v>115</x:v>
      </x:c>
      <x:c r="I8" s="6" t="n">
        <x:v>8777</x:v>
      </x:c>
      <x:c r="J8" s="11" t="n">
        <x:f>E8/D8</x:f>
        <x:v>0.9761006289308176</x:v>
      </x:c>
      <x:c r="K8" s="11" t="n">
        <x:f>F8/D8</x:f>
        <x:v>0.02389937106918239</x:v>
      </x:c>
      <x:c r="L8" s="13" t="n">
        <x:f>I8/D8</x:f>
        <x:v>11.040251572327044</x:v>
      </x:c>
      <x:c r="M8" s="6" t="str">
        <x:v>Included</x:v>
      </x:c>
      <x:c r="N8" s="1"/>
      <x:c r="O8" s="1"/>
      <x:c r="P8" s="1"/>
    </x:row>
    <x:row r="9" ht="23" customHeight="1">
      <x:c r="A9" s="1"/>
      <x:c r="B9" s="12" t="str">
        <x:v>7002</x:v>
      </x:c>
      <x:c r="C9" s="6" t="str">
        <x:v>St. George St / Bloor St W</x:v>
      </x:c>
      <x:c r="D9" s="6" t="n">
        <x:v>793</x:v>
      </x:c>
      <x:c r="E9" s="6" t="n">
        <x:v>793</x:v>
      </x:c>
      <x:c r="F9" s="6" t="n">
        <x:v>0</x:v>
      </x:c>
      <x:c r="G9" s="6" t="n">
        <x:v>11</x:v>
      </x:c>
      <x:c r="H9" s="6" t="n">
        <x:v>115</x:v>
      </x:c>
      <x:c r="I9" s="6" t="n">
        <x:v>10040</x:v>
      </x:c>
      <x:c r="J9" s="11" t="n">
        <x:f>E9/D9</x:f>
        <x:v>1</x:v>
      </x:c>
      <x:c r="K9" s="11" t="n">
        <x:f>F9/D9</x:f>
        <x:v>0</x:v>
      </x:c>
      <x:c r="L9" s="13" t="n">
        <x:f>I9/D9</x:f>
        <x:v>12.66078184110971</x:v>
      </x:c>
      <x:c r="M9" s="6" t="str">
        <x:v>Included</x:v>
      </x:c>
      <x:c r="N9" s="1"/>
      <x:c r="O9" s="1"/>
      <x:c r="P9" s="1"/>
    </x:row>
    <x:row r="10" ht="23" customHeight="1">
      <x:c r="A10" s="1"/>
      <x:c r="B10" s="12" t="str">
        <x:v>7003</x:v>
      </x:c>
      <x:c r="C10" s="6" t="str">
        <x:v>Madison Ave / Bloor St W</x:v>
      </x:c>
      <x:c r="D10" s="6" t="n">
        <x:v>788</x:v>
      </x:c>
      <x:c r="E10" s="6" t="n">
        <x:v>788</x:v>
      </x:c>
      <x:c r="F10" s="6" t="n">
        <x:v>0</x:v>
      </x:c>
      <x:c r="G10" s="6" t="n">
        <x:v>11</x:v>
      </x:c>
      <x:c r="H10" s="6" t="n">
        <x:v>113</x:v>
      </x:c>
      <x:c r="I10" s="6" t="n">
        <x:v>10412</x:v>
      </x:c>
      <x:c r="J10" s="11" t="n">
        <x:f>E10/D10</x:f>
        <x:v>1</x:v>
      </x:c>
      <x:c r="K10" s="11" t="n">
        <x:f>F10/D10</x:f>
        <x:v>0</x:v>
      </x:c>
      <x:c r="L10" s="13" t="n">
        <x:f>I10/D10</x:f>
        <x:v>13.213197969543147</x:v>
      </x:c>
      <x:c r="M10" s="6" t="str">
        <x:v>Included</x:v>
      </x:c>
      <x:c r="N10" s="1"/>
      <x:c r="O10" s="1"/>
      <x:c r="P10" s="1"/>
    </x:row>
    <x:row r="11" ht="23" customHeight="1">
      <x:c r="A11" s="1"/>
      <x:c r="B11" s="12" t="str">
        <x:v>7004</x:v>
      </x:c>
      <x:c r="C11" s="6" t="str">
        <x:v>University Ave / Elm St</x:v>
      </x:c>
      <x:c r="D11" s="6" t="n">
        <x:v>235</x:v>
      </x:c>
      <x:c r="E11" s="6" t="n">
        <x:v>235</x:v>
      </x:c>
      <x:c r="F11" s="6" t="n">
        <x:v>0</x:v>
      </x:c>
      <x:c r="G11" s="6" t="n">
        <x:v>4</x:v>
      </x:c>
      <x:c r="H11" s="6" t="n">
        <x:v>49</x:v>
      </x:c>
      <x:c r="I11" s="6" t="n">
        <x:v>5170</x:v>
      </x:c>
      <x:c r="J11" s="11" t="n">
        <x:f>E11/D11</x:f>
        <x:v>1</x:v>
      </x:c>
      <x:c r="K11" s="11" t="n">
        <x:f>F11/D11</x:f>
        <x:v>0</x:v>
      </x:c>
      <x:c r="L11" s="13" t="n">
        <x:f>I11/D11</x:f>
        <x:v>22</x:v>
      </x:c>
      <x:c r="M11" s="6" t="str">
        <x:v>Low support</x:v>
      </x:c>
      <x:c r="N11" s="1"/>
      <x:c r="O11" s="1"/>
      <x:c r="P11" s="1"/>
    </x:row>
    <x:row r="12" ht="23" customHeight="1">
      <x:c r="A12" s="1"/>
      <x:c r="B12" s="12" t="str">
        <x:v>7005</x:v>
      </x:c>
      <x:c r="C12" s="6" t="str">
        <x:v>King St W / York St</x:v>
      </x:c>
      <x:c r="D12" s="6" t="n">
        <x:v>792</x:v>
      </x:c>
      <x:c r="E12" s="6" t="n">
        <x:v>660</x:v>
      </x:c>
      <x:c r="F12" s="6" t="n">
        <x:v>132</x:v>
      </x:c>
      <x:c r="G12" s="6" t="n">
        <x:v>11</x:v>
      </x:c>
      <x:c r="H12" s="6" t="n">
        <x:v>114</x:v>
      </x:c>
      <x:c r="I12" s="6" t="n">
        <x:v>7960</x:v>
      </x:c>
      <x:c r="J12" s="11" t="n">
        <x:f>E12/D12</x:f>
        <x:v>0.8333333333333334</x:v>
      </x:c>
      <x:c r="K12" s="11" t="n">
        <x:f>F12/D12</x:f>
        <x:v>0.16666666666666666</x:v>
      </x:c>
      <x:c r="L12" s="13" t="n">
        <x:f>I12/D12</x:f>
        <x:v>10.05050505050505</x:v>
      </x:c>
      <x:c r="M12" s="6" t="str">
        <x:v>Included</x:v>
      </x:c>
      <x:c r="N12" s="1"/>
      <x:c r="O12" s="1"/>
      <x:c r="P12" s="1"/>
    </x:row>
    <x:row r="13" ht="23" customHeight="1">
      <x:c r="A13" s="1"/>
      <x:c r="B13" s="12" t="str">
        <x:v>7006</x:v>
      </x:c>
      <x:c r="C13" s="6" t="str">
        <x:v>Bay St / College St (East Side)</x:v>
      </x:c>
      <x:c r="D13" s="6" t="n">
        <x:v>782</x:v>
      </x:c>
      <x:c r="E13" s="6" t="n">
        <x:v>779</x:v>
      </x:c>
      <x:c r="F13" s="6" t="n">
        <x:v>3</x:v>
      </x:c>
      <x:c r="G13" s="6" t="n">
        <x:v>11</x:v>
      </x:c>
      <x:c r="H13" s="6" t="n">
        <x:v>115</x:v>
      </x:c>
      <x:c r="I13" s="6" t="n">
        <x:v>20557</x:v>
      </x:c>
      <x:c r="J13" s="11" t="n">
        <x:f>E13/D13</x:f>
        <x:v>0.9961636828644501</x:v>
      </x:c>
      <x:c r="K13" s="11" t="n">
        <x:f>F13/D13</x:f>
        <x:v>0.0038363171355498722</x:v>
      </x:c>
      <x:c r="L13" s="13" t="n">
        <x:f>I13/D13</x:f>
        <x:v>26.28772378516624</x:v>
      </x:c>
      <x:c r="M13" s="6" t="str">
        <x:v>Included</x:v>
      </x:c>
      <x:c r="N13" s="1"/>
      <x:c r="O13" s="1"/>
      <x:c r="P13" s="1"/>
    </x:row>
    <x:row r="14" ht="23" customHeight="1">
      <x:c r="A14" s="1"/>
      <x:c r="B14" s="12" t="str">
        <x:v>7007</x:v>
      </x:c>
      <x:c r="C14" s="6" t="str">
        <x:v>College St / Huron St</x:v>
      </x:c>
      <x:c r="D14" s="6" t="n">
        <x:v>791</x:v>
      </x:c>
      <x:c r="E14" s="6" t="n">
        <x:v>762</x:v>
      </x:c>
      <x:c r="F14" s="6" t="n">
        <x:v>29</x:v>
      </x:c>
      <x:c r="G14" s="6" t="n">
        <x:v>11</x:v>
      </x:c>
      <x:c r="H14" s="6" t="n">
        <x:v>115</x:v>
      </x:c>
      <x:c r="I14" s="6" t="n">
        <x:v>10181</x:v>
      </x:c>
      <x:c r="J14" s="11" t="n">
        <x:f>E14/D14</x:f>
        <x:v>0.9633375474083439</x:v>
      </x:c>
      <x:c r="K14" s="11" t="n">
        <x:f>F14/D14</x:f>
        <x:v>0.03666245259165613</x:v>
      </x:c>
      <x:c r="L14" s="13" t="n">
        <x:f>I14/D14</x:f>
        <x:v>12.871049304677623</x:v>
      </x:c>
      <x:c r="M14" s="6" t="str">
        <x:v>Included</x:v>
      </x:c>
      <x:c r="N14" s="1"/>
      <x:c r="O14" s="1"/>
      <x:c r="P14" s="1"/>
    </x:row>
    <x:row r="15" ht="23" customHeight="1">
      <x:c r="A15" s="1"/>
      <x:c r="B15" s="12" t="str">
        <x:v>7008</x:v>
      </x:c>
      <x:c r="C15" s="6" t="str">
        <x:v>Wellesley St W / Queen's Park Cres</x:v>
      </x:c>
      <x:c r="D15" s="6" t="n">
        <x:v>778</x:v>
      </x:c>
      <x:c r="E15" s="6" t="n">
        <x:v>778</x:v>
      </x:c>
      <x:c r="F15" s="6" t="n">
        <x:v>0</x:v>
      </x:c>
      <x:c r="G15" s="6" t="n">
        <x:v>11</x:v>
      </x:c>
      <x:c r="H15" s="6" t="n">
        <x:v>114</x:v>
      </x:c>
      <x:c r="I15" s="6" t="n">
        <x:v>10818</x:v>
      </x:c>
      <x:c r="J15" s="11" t="n">
        <x:f>E15/D15</x:f>
        <x:v>1</x:v>
      </x:c>
      <x:c r="K15" s="11" t="n">
        <x:f>F15/D15</x:f>
        <x:v>0</x:v>
      </x:c>
      <x:c r="L15" s="13" t="n">
        <x:f>I15/D15</x:f>
        <x:v>13.904884318766067</x:v>
      </x:c>
      <x:c r="M15" s="6" t="str">
        <x:v>Included</x:v>
      </x:c>
      <x:c r="N15" s="1"/>
      <x:c r="O15" s="1"/>
      <x:c r="P15" s="1"/>
    </x:row>
    <x:row r="16" ht="23" customHeight="1">
      <x:c r="A16" s="1"/>
      <x:c r="B16" s="12" t="str">
        <x:v>7010</x:v>
      </x:c>
      <x:c r="C16" s="6" t="str">
        <x:v>King St W / Spadina Ave</x:v>
      </x:c>
      <x:c r="D16" s="6" t="n">
        <x:v>792</x:v>
      </x:c>
      <x:c r="E16" s="6" t="n">
        <x:v>645</x:v>
      </x:c>
      <x:c r="F16" s="6" t="n">
        <x:v>147</x:v>
      </x:c>
      <x:c r="G16" s="6" t="n">
        <x:v>11</x:v>
      </x:c>
      <x:c r="H16" s="6" t="n">
        <x:v>115</x:v>
      </x:c>
      <x:c r="I16" s="6" t="n">
        <x:v>3808</x:v>
      </x:c>
      <x:c r="J16" s="11" t="n">
        <x:f>E16/D16</x:f>
        <x:v>0.8143939393939394</x:v>
      </x:c>
      <x:c r="K16" s="11" t="n">
        <x:f>F16/D16</x:f>
        <x:v>0.1856060606060606</x:v>
      </x:c>
      <x:c r="L16" s="13" t="n">
        <x:f>I16/D16</x:f>
        <x:v>4.808080808080808</x:v>
      </x:c>
      <x:c r="M16" s="6" t="str">
        <x:v>Included</x:v>
      </x:c>
      <x:c r="N16" s="1"/>
      <x:c r="O16" s="1"/>
      <x:c r="P16" s="1"/>
    </x:row>
    <x:row r="17" ht="23" customHeight="1">
      <x:c r="A17" s="1"/>
      <x:c r="B17" s="12" t="str">
        <x:v>7013</x:v>
      </x:c>
      <x:c r="C17" s="6" t="str">
        <x:v>Scott St / The Esplanade</x:v>
      </x:c>
      <x:c r="D17" s="6" t="n">
        <x:v>788</x:v>
      </x:c>
      <x:c r="E17" s="6" t="n">
        <x:v>756</x:v>
      </x:c>
      <x:c r="F17" s="6" t="n">
        <x:v>32</x:v>
      </x:c>
      <x:c r="G17" s="6" t="n">
        <x:v>11</x:v>
      </x:c>
      <x:c r="H17" s="6" t="n">
        <x:v>115</x:v>
      </x:c>
      <x:c r="I17" s="6" t="n">
        <x:v>5196</x:v>
      </x:c>
      <x:c r="J17" s="11" t="n">
        <x:f>E17/D17</x:f>
        <x:v>0.9593908629441624</x:v>
      </x:c>
      <x:c r="K17" s="11" t="n">
        <x:f>F17/D17</x:f>
        <x:v>0.04060913705583756</x:v>
      </x:c>
      <x:c r="L17" s="13" t="n">
        <x:f>I17/D17</x:f>
        <x:v>6.593908629441624</x:v>
      </x:c>
      <x:c r="M17" s="6" t="str">
        <x:v>Included</x:v>
      </x:c>
      <x:c r="N17" s="1"/>
      <x:c r="O17" s="1"/>
      <x:c r="P17" s="1"/>
    </x:row>
    <x:row r="18" ht="23" customHeight="1">
      <x:c r="A18" s="1"/>
      <x:c r="B18" s="12" t="str">
        <x:v>7014</x:v>
      </x:c>
      <x:c r="C18" s="6" t="str">
        <x:v>Sherbourne St / Carlton St (Allan Gardens)</x:v>
      </x:c>
      <x:c r="D18" s="6" t="n">
        <x:v>779</x:v>
      </x:c>
      <x:c r="E18" s="6" t="n">
        <x:v>731</x:v>
      </x:c>
      <x:c r="F18" s="6" t="n">
        <x:v>48</x:v>
      </x:c>
      <x:c r="G18" s="6" t="n">
        <x:v>11</x:v>
      </x:c>
      <x:c r="H18" s="6" t="n">
        <x:v>115</x:v>
      </x:c>
      <x:c r="I18" s="6" t="n">
        <x:v>7214</x:v>
      </x:c>
      <x:c r="J18" s="11" t="n">
        <x:f>E18/D18</x:f>
        <x:v>0.938382541720154</x:v>
      </x:c>
      <x:c r="K18" s="11" t="n">
        <x:f>F18/D18</x:f>
        <x:v>0.06161745827984596</x:v>
      </x:c>
      <x:c r="L18" s="13" t="n">
        <x:f>I18/D18</x:f>
        <x:v>9.260590500641849</x:v>
      </x:c>
      <x:c r="M18" s="6" t="str">
        <x:v>Included</x:v>
      </x:c>
      <x:c r="N18" s="1"/>
      <x:c r="O18" s="1"/>
      <x:c r="P18" s="1"/>
    </x:row>
    <x:row r="19" ht="23" customHeight="1">
      <x:c r="A19" s="1"/>
      <x:c r="B19" s="12" t="str">
        <x:v>7015</x:v>
      </x:c>
      <x:c r="C19" s="6" t="str">
        <x:v>King St W / Bay St (West Side)</x:v>
      </x:c>
      <x:c r="D19" s="6" t="n">
        <x:v>790</x:v>
      </x:c>
      <x:c r="E19" s="6" t="n">
        <x:v>771</x:v>
      </x:c>
      <x:c r="F19" s="6" t="n">
        <x:v>19</x:v>
      </x:c>
      <x:c r="G19" s="6" t="n">
        <x:v>11</x:v>
      </x:c>
      <x:c r="H19" s="6" t="n">
        <x:v>114</x:v>
      </x:c>
      <x:c r="I19" s="6" t="n">
        <x:v>15977</x:v>
      </x:c>
      <x:c r="J19" s="11" t="n">
        <x:f>E19/D19</x:f>
        <x:v>0.9759493670886076</x:v>
      </x:c>
      <x:c r="K19" s="11" t="n">
        <x:f>F19/D19</x:f>
        <x:v>0.024050632911392405</x:v>
      </x:c>
      <x:c r="L19" s="13" t="n">
        <x:f>I19/D19</x:f>
        <x:v>20.224050632911393</x:v>
      </x:c>
      <x:c r="M19" s="6" t="str">
        <x:v>Included</x:v>
      </x:c>
      <x:c r="N19" s="1"/>
      <x:c r="O19" s="1"/>
      <x:c r="P19" s="1"/>
    </x:row>
    <x:row r="20" ht="23" customHeight="1">
      <x:c r="A20" s="1"/>
      <x:c r="B20" s="12" t="str">
        <x:v>7016</x:v>
      </x:c>
      <x:c r="C20" s="6" t="str">
        <x:v>Bay St / Queens Quay W (Ferry Terminal)</x:v>
      </x:c>
      <x:c r="D20" s="6" t="n">
        <x:v>770</x:v>
      </x:c>
      <x:c r="E20" s="6" t="n">
        <x:v>735</x:v>
      </x:c>
      <x:c r="F20" s="6" t="n">
        <x:v>35</x:v>
      </x:c>
      <x:c r="G20" s="6" t="n">
        <x:v>11</x:v>
      </x:c>
      <x:c r="H20" s="6" t="n">
        <x:v>113</x:v>
      </x:c>
      <x:c r="I20" s="6" t="n">
        <x:v>14591</x:v>
      </x:c>
      <x:c r="J20" s="11" t="n">
        <x:f>E20/D20</x:f>
        <x:v>0.9545454545454546</x:v>
      </x:c>
      <x:c r="K20" s="11" t="n">
        <x:f>F20/D20</x:f>
        <x:v>0.045454545454545456</x:v>
      </x:c>
      <x:c r="L20" s="13" t="n">
        <x:f>I20/D20</x:f>
        <x:v>18.94935064935065</x:v>
      </x:c>
      <x:c r="M20" s="6" t="str">
        <x:v>Included</x:v>
      </x:c>
      <x:c r="N20" s="1"/>
      <x:c r="O20" s="1"/>
      <x:c r="P20" s="1"/>
    </x:row>
    <x:row r="21" ht="23" customHeight="1">
      <x:c r="A21" s="1"/>
      <x:c r="B21" s="12" t="str">
        <x:v>7017</x:v>
      </x:c>
      <x:c r="C21" s="6" t="str">
        <x:v>Widmer St / Adelaide St W</x:v>
      </x:c>
      <x:c r="D21" s="6" t="n">
        <x:v>796</x:v>
      </x:c>
      <x:c r="E21" s="6" t="n">
        <x:v>592</x:v>
      </x:c>
      <x:c r="F21" s="6" t="n">
        <x:v>204</x:v>
      </x:c>
      <x:c r="G21" s="6" t="n">
        <x:v>11</x:v>
      </x:c>
      <x:c r="H21" s="6" t="n">
        <x:v>115</x:v>
      </x:c>
      <x:c r="I21" s="6" t="n">
        <x:v>2752</x:v>
      </x:c>
      <x:c r="J21" s="11" t="n">
        <x:f>E21/D21</x:f>
        <x:v>0.7437185929648241</x:v>
      </x:c>
      <x:c r="K21" s="11" t="n">
        <x:f>F21/D21</x:f>
        <x:v>0.2562814070351759</x:v>
      </x:c>
      <x:c r="L21" s="13" t="n">
        <x:f>I21/D21</x:f>
        <x:v>3.457286432160804</x:v>
      </x:c>
      <x:c r="M21" s="6" t="str">
        <x:v>Included</x:v>
      </x:c>
      <x:c r="N21" s="1"/>
      <x:c r="O21" s="1"/>
      <x:c r="P21" s="1"/>
    </x:row>
    <x:row r="22" ht="23" customHeight="1">
      <x:c r="A22" s="1"/>
      <x:c r="B22" s="12" t="str">
        <x:v>7018</x:v>
      </x:c>
      <x:c r="C22" s="6" t="str">
        <x:v>Bremner Blvd / Rees St</x:v>
      </x:c>
      <x:c r="D22" s="6" t="n">
        <x:v>791</x:v>
      </x:c>
      <x:c r="E22" s="6" t="n">
        <x:v>786</x:v>
      </x:c>
      <x:c r="F22" s="6" t="n">
        <x:v>5</x:v>
      </x:c>
      <x:c r="G22" s="6" t="n">
        <x:v>11</x:v>
      </x:c>
      <x:c r="H22" s="6" t="n">
        <x:v>116</x:v>
      </x:c>
      <x:c r="I22" s="6" t="n">
        <x:v>24880</x:v>
      </x:c>
      <x:c r="J22" s="11" t="n">
        <x:f>E22/D22</x:f>
        <x:v>0.9936788874841972</x:v>
      </x:c>
      <x:c r="K22" s="11" t="n">
        <x:f>F22/D22</x:f>
        <x:v>0.006321112515802781</x:v>
      </x:c>
      <x:c r="L22" s="13" t="n">
        <x:f>I22/D22</x:f>
        <x:v>31.45385587863464</x:v>
      </x:c>
      <x:c r="M22" s="6" t="str">
        <x:v>Included</x:v>
      </x:c>
      <x:c r="N22" s="1"/>
      <x:c r="O22" s="1"/>
      <x:c r="P22" s="1"/>
    </x:row>
    <x:row r="23" ht="23" customHeight="1">
      <x:c r="A23" s="1"/>
      <x:c r="B23" s="12" t="str">
        <x:v>7019</x:v>
      </x:c>
      <x:c r="C23" s="6" t="str">
        <x:v>Temperance St Station</x:v>
      </x:c>
      <x:c r="D23" s="6" t="n">
        <x:v>790</x:v>
      </x:c>
      <x:c r="E23" s="6" t="n">
        <x:v>778</x:v>
      </x:c>
      <x:c r="F23" s="6" t="n">
        <x:v>12</x:v>
      </x:c>
      <x:c r="G23" s="6" t="n">
        <x:v>11</x:v>
      </x:c>
      <x:c r="H23" s="6" t="n">
        <x:v>114</x:v>
      </x:c>
      <x:c r="I23" s="6" t="n">
        <x:v>27267</x:v>
      </x:c>
      <x:c r="J23" s="11" t="n">
        <x:f>E23/D23</x:f>
        <x:v>0.9848101265822785</x:v>
      </x:c>
      <x:c r="K23" s="11" t="n">
        <x:f>F23/D23</x:f>
        <x:v>0.015189873417721518</x:v>
      </x:c>
      <x:c r="L23" s="13" t="n">
        <x:f>I23/D23</x:f>
        <x:v>34.51518987341772</x:v>
      </x:c>
      <x:c r="M23" s="6" t="str">
        <x:v>Included</x:v>
      </x:c>
      <x:c r="N23" s="1"/>
      <x:c r="O23" s="1"/>
      <x:c r="P23" s="1"/>
    </x:row>
    <x:row r="24" ht="23" customHeight="1">
      <x:c r="A24" s="1"/>
      <x:c r="B24" s="12" t="str">
        <x:v>7020</x:v>
      </x:c>
      <x:c r="C24" s="6" t="str">
        <x:v>Phoebe St / Spadina Ave</x:v>
      </x:c>
      <x:c r="D24" s="6" t="n">
        <x:v>782</x:v>
      </x:c>
      <x:c r="E24" s="6" t="n">
        <x:v>621</x:v>
      </x:c>
      <x:c r="F24" s="6" t="n">
        <x:v>161</x:v>
      </x:c>
      <x:c r="G24" s="6" t="n">
        <x:v>11</x:v>
      </x:c>
      <x:c r="H24" s="6" t="n">
        <x:v>114</x:v>
      </x:c>
      <x:c r="I24" s="6" t="n">
        <x:v>4942</x:v>
      </x:c>
      <x:c r="J24" s="11" t="n">
        <x:f>E24/D24</x:f>
        <x:v>0.7941176470588235</x:v>
      </x:c>
      <x:c r="K24" s="11" t="n">
        <x:f>F24/D24</x:f>
        <x:v>0.20588235294117646</x:v>
      </x:c>
      <x:c r="L24" s="13" t="n">
        <x:f>I24/D24</x:f>
        <x:v>6.319693094629156</x:v>
      </x:c>
      <x:c r="M24" s="6" t="str">
        <x:v>Included</x:v>
      </x:c>
      <x:c r="N24" s="1"/>
      <x:c r="O24" s="1"/>
      <x:c r="P24" s="1"/>
    </x:row>
    <x:row r="25" ht="23" customHeight="1">
      <x:c r="A25" s="1"/>
      <x:c r="B25" s="12" t="str">
        <x:v>7021</x:v>
      </x:c>
      <x:c r="C25" s="6" t="str">
        <x:v>Bay St / Albert St</x:v>
      </x:c>
      <x:c r="D25" s="6" t="n">
        <x:v>788</x:v>
      </x:c>
      <x:c r="E25" s="6" t="n">
        <x:v>788</x:v>
      </x:c>
      <x:c r="F25" s="6" t="n">
        <x:v>0</x:v>
      </x:c>
      <x:c r="G25" s="6" t="n">
        <x:v>11</x:v>
      </x:c>
      <x:c r="H25" s="6" t="n">
        <x:v>114</x:v>
      </x:c>
      <x:c r="I25" s="6" t="n">
        <x:v>34874</x:v>
      </x:c>
      <x:c r="J25" s="11" t="n">
        <x:f>E25/D25</x:f>
        <x:v>1</x:v>
      </x:c>
      <x:c r="K25" s="11" t="n">
        <x:f>F25/D25</x:f>
        <x:v>0</x:v>
      </x:c>
      <x:c r="L25" s="13" t="n">
        <x:f>I25/D25</x:f>
        <x:v>44.256345177664976</x:v>
      </x:c>
      <x:c r="M25" s="6" t="str">
        <x:v>Included</x:v>
      </x:c>
      <x:c r="N25" s="1"/>
      <x:c r="O25" s="1"/>
      <x:c r="P25" s="1"/>
    </x:row>
    <x:row r="26" ht="23" customHeight="1">
      <x:c r="A26" s="1"/>
      <x:c r="B26" s="12" t="str">
        <x:v>7023</x:v>
      </x:c>
      <x:c r="C26" s="6" t="str">
        <x:v>College St / Borden St</x:v>
      </x:c>
      <x:c r="D26" s="6" t="n">
        <x:v>782</x:v>
      </x:c>
      <x:c r="E26" s="6" t="n">
        <x:v>774</x:v>
      </x:c>
      <x:c r="F26" s="6" t="n">
        <x:v>8</x:v>
      </x:c>
      <x:c r="G26" s="6" t="n">
        <x:v>11</x:v>
      </x:c>
      <x:c r="H26" s="6" t="n">
        <x:v>116</x:v>
      </x:c>
      <x:c r="I26" s="6" t="n">
        <x:v>5820</x:v>
      </x:c>
      <x:c r="J26" s="11" t="n">
        <x:f>E26/D26</x:f>
        <x:v>0.989769820971867</x:v>
      </x:c>
      <x:c r="K26" s="11" t="n">
        <x:f>F26/D26</x:f>
        <x:v>0.010230179028132993</x:v>
      </x:c>
      <x:c r="L26" s="13" t="n">
        <x:f>I26/D26</x:f>
        <x:v>7.442455242966752</x:v>
      </x:c>
      <x:c r="M26" s="6" t="str">
        <x:v>Included</x:v>
      </x:c>
      <x:c r="N26" s="1"/>
      <x:c r="O26" s="1"/>
      <x:c r="P26" s="1"/>
    </x:row>
    <x:row r="27" ht="23" customHeight="1">
      <x:c r="A27" s="1"/>
      <x:c r="B27" s="12" t="str">
        <x:v>7024</x:v>
      </x:c>
      <x:c r="C27" s="6" t="str">
        <x:v>Dundonald St / Church St</x:v>
      </x:c>
      <x:c r="D27" s="6" t="n">
        <x:v>784</x:v>
      </x:c>
      <x:c r="E27" s="6" t="n">
        <x:v>784</x:v>
      </x:c>
      <x:c r="F27" s="6" t="n">
        <x:v>0</x:v>
      </x:c>
      <x:c r="G27" s="6" t="n">
        <x:v>11</x:v>
      </x:c>
      <x:c r="H27" s="6" t="n">
        <x:v>115</x:v>
      </x:c>
      <x:c r="I27" s="6" t="n">
        <x:v>23837</x:v>
      </x:c>
      <x:c r="J27" s="11" t="n">
        <x:f>E27/D27</x:f>
        <x:v>1</x:v>
      </x:c>
      <x:c r="K27" s="11" t="n">
        <x:f>F27/D27</x:f>
        <x:v>0</x:v>
      </x:c>
      <x:c r="L27" s="13" t="n">
        <x:f>I27/D27</x:f>
        <x:v>30.404336734693878</x:v>
      </x:c>
      <x:c r="M27" s="6" t="str">
        <x:v>Included</x:v>
      </x:c>
      <x:c r="N27" s="1"/>
      <x:c r="O27" s="1"/>
      <x:c r="P27" s="1"/>
    </x:row>
    <x:row r="28" ht="23" customHeight="1">
      <x:c r="A28" s="1"/>
      <x:c r="B28" s="12" t="str">
        <x:v>7025</x:v>
      </x:c>
      <x:c r="C28" s="6" t="str">
        <x:v>Ted Rogers Way / Bloor St E</x:v>
      </x:c>
      <x:c r="D28" s="6" t="n">
        <x:v>778</x:v>
      </x:c>
      <x:c r="E28" s="6" t="n">
        <x:v>778</x:v>
      </x:c>
      <x:c r="F28" s="6" t="n">
        <x:v>0</x:v>
      </x:c>
      <x:c r="G28" s="6" t="n">
        <x:v>11</x:v>
      </x:c>
      <x:c r="H28" s="6" t="n">
        <x:v>115</x:v>
      </x:c>
      <x:c r="I28" s="6" t="n">
        <x:v>14959</x:v>
      </x:c>
      <x:c r="J28" s="11" t="n">
        <x:f>E28/D28</x:f>
        <x:v>1</x:v>
      </x:c>
      <x:c r="K28" s="11" t="n">
        <x:f>F28/D28</x:f>
        <x:v>0</x:v>
      </x:c>
      <x:c r="L28" s="13" t="n">
        <x:f>I28/D28</x:f>
        <x:v>19.227506426735218</x:v>
      </x:c>
      <x:c r="M28" s="6" t="str">
        <x:v>Included</x:v>
      </x:c>
      <x:c r="N28" s="1"/>
      <x:c r="O28" s="1"/>
      <x:c r="P28" s="1"/>
    </x:row>
    <x:row r="29" ht="23" customHeight="1">
      <x:c r="A29" s="1"/>
      <x:c r="B29" s="12" t="str">
        <x:v>7026</x:v>
      </x:c>
      <x:c r="C29" s="6" t="str">
        <x:v>Bay St / St. Joseph St</x:v>
      </x:c>
      <x:c r="D29" s="6" t="n">
        <x:v>785</x:v>
      </x:c>
      <x:c r="E29" s="6" t="n">
        <x:v>785</x:v>
      </x:c>
      <x:c r="F29" s="6" t="n">
        <x:v>0</x:v>
      </x:c>
      <x:c r="G29" s="6" t="n">
        <x:v>11</x:v>
      </x:c>
      <x:c r="H29" s="6" t="n">
        <x:v>114</x:v>
      </x:c>
      <x:c r="I29" s="6" t="n">
        <x:v>8779</x:v>
      </x:c>
      <x:c r="J29" s="11" t="n">
        <x:f>E29/D29</x:f>
        <x:v>1</x:v>
      </x:c>
      <x:c r="K29" s="11" t="n">
        <x:f>F29/D29</x:f>
        <x:v>0</x:v>
      </x:c>
      <x:c r="L29" s="13" t="n">
        <x:f>I29/D29</x:f>
        <x:v>11.18343949044586</x:v>
      </x:c>
      <x:c r="M29" s="6" t="str">
        <x:v>Included</x:v>
      </x:c>
      <x:c r="N29" s="1"/>
      <x:c r="O29" s="1"/>
      <x:c r="P29" s="1"/>
    </x:row>
    <x:row r="30" ht="23" customHeight="1">
      <x:c r="A30" s="1"/>
      <x:c r="B30" s="12" t="str">
        <x:v>7027</x:v>
      </x:c>
      <x:c r="C30" s="6" t="str">
        <x:v>Beverley St / Dundas St W</x:v>
      </x:c>
      <x:c r="D30" s="6" t="n">
        <x:v>790</x:v>
      </x:c>
      <x:c r="E30" s="6" t="n">
        <x:v>785</x:v>
      </x:c>
      <x:c r="F30" s="6" t="n">
        <x:v>5</x:v>
      </x:c>
      <x:c r="G30" s="6" t="n">
        <x:v>11</x:v>
      </x:c>
      <x:c r="H30" s="6" t="n">
        <x:v>115</x:v>
      </x:c>
      <x:c r="I30" s="6" t="n">
        <x:v>15708</x:v>
      </x:c>
      <x:c r="J30" s="11" t="n">
        <x:f>E30/D30</x:f>
        <x:v>0.9936708860759493</x:v>
      </x:c>
      <x:c r="K30" s="11" t="n">
        <x:f>F30/D30</x:f>
        <x:v>0.006329113924050633</x:v>
      </x:c>
      <x:c r="L30" s="13" t="n">
        <x:f>I30/D30</x:f>
        <x:v>19.883544303797468</x:v>
      </x:c>
      <x:c r="M30" s="6" t="str">
        <x:v>Included</x:v>
      </x:c>
      <x:c r="N30" s="1"/>
      <x:c r="O30" s="1"/>
      <x:c r="P30" s="1"/>
    </x:row>
    <x:row r="31" ht="23" customHeight="1">
      <x:c r="A31" s="1"/>
      <x:c r="B31" s="12" t="str">
        <x:v>7028</x:v>
      </x:c>
      <x:c r="C31" s="6" t="str">
        <x:v>Gould St / Mutual St</x:v>
      </x:c>
      <x:c r="D31" s="6" t="n">
        <x:v>781</x:v>
      </x:c>
      <x:c r="E31" s="6" t="n">
        <x:v>779</x:v>
      </x:c>
      <x:c r="F31" s="6" t="n">
        <x:v>2</x:v>
      </x:c>
      <x:c r="G31" s="6" t="n">
        <x:v>11</x:v>
      </x:c>
      <x:c r="H31" s="6" t="n">
        <x:v>114</x:v>
      </x:c>
      <x:c r="I31" s="6" t="n">
        <x:v>16334</x:v>
      </x:c>
      <x:c r="J31" s="11" t="n">
        <x:f>E31/D31</x:f>
        <x:v>0.9974391805377721</x:v>
      </x:c>
      <x:c r="K31" s="11" t="n">
        <x:f>F31/D31</x:f>
        <x:v>0.002560819462227913</x:v>
      </x:c>
      <x:c r="L31" s="13" t="n">
        <x:f>I31/D31</x:f>
        <x:v>20.914212548015364</x:v>
      </x:c>
      <x:c r="M31" s="6" t="str">
        <x:v>Included</x:v>
      </x:c>
      <x:c r="N31" s="1"/>
      <x:c r="O31" s="1"/>
      <x:c r="P31" s="1"/>
    </x:row>
    <x:row r="32" ht="23" customHeight="1">
      <x:c r="A32" s="1"/>
      <x:c r="B32" s="12" t="str">
        <x:v>7029</x:v>
      </x:c>
      <x:c r="C32" s="6" t="str">
        <x:v>Bay St / Bloor St W (East Side)</x:v>
      </x:c>
      <x:c r="D32" s="6" t="n">
        <x:v>787</x:v>
      </x:c>
      <x:c r="E32" s="6" t="n">
        <x:v>772</x:v>
      </x:c>
      <x:c r="F32" s="6" t="n">
        <x:v>15</x:v>
      </x:c>
      <x:c r="G32" s="6" t="n">
        <x:v>11</x:v>
      </x:c>
      <x:c r="H32" s="6" t="n">
        <x:v>114</x:v>
      </x:c>
      <x:c r="I32" s="6" t="n">
        <x:v>9898</x:v>
      </x:c>
      <x:c r="J32" s="11" t="n">
        <x:f>E32/D32</x:f>
        <x:v>0.9809402795425667</x:v>
      </x:c>
      <x:c r="K32" s="11" t="n">
        <x:f>F32/D32</x:f>
        <x:v>0.01905972045743329</x:v>
      </x:c>
      <x:c r="L32" s="13" t="n">
        <x:f>I32/D32</x:f>
        <x:v>12.57687420584498</x:v>
      </x:c>
      <x:c r="M32" s="6" t="str">
        <x:v>Included</x:v>
      </x:c>
      <x:c r="N32" s="1"/>
      <x:c r="O32" s="1"/>
      <x:c r="P32" s="1"/>
    </x:row>
    <x:row r="33" ht="23" customHeight="1">
      <x:c r="A33" s="1"/>
      <x:c r="B33" s="12" t="str">
        <x:v>7030</x:v>
      </x:c>
      <x:c r="C33" s="6" t="str">
        <x:v>Bay St / Wellesley St W</x:v>
      </x:c>
      <x:c r="D33" s="6" t="n">
        <x:v>798</x:v>
      </x:c>
      <x:c r="E33" s="6" t="n">
        <x:v>798</x:v>
      </x:c>
      <x:c r="F33" s="6" t="n">
        <x:v>0</x:v>
      </x:c>
      <x:c r="G33" s="6" t="n">
        <x:v>11</x:v>
      </x:c>
      <x:c r="H33" s="6" t="n">
        <x:v>115</x:v>
      </x:c>
      <x:c r="I33" s="6" t="n">
        <x:v>24806</x:v>
      </x:c>
      <x:c r="J33" s="11" t="n">
        <x:f>E33/D33</x:f>
        <x:v>1</x:v>
      </x:c>
      <x:c r="K33" s="11" t="n">
        <x:f>F33/D33</x:f>
        <x:v>0</x:v>
      </x:c>
      <x:c r="L33" s="13" t="n">
        <x:f>I33/D33</x:f>
        <x:v>31.085213032581454</x:v>
      </x:c>
      <x:c r="M33" s="6" t="str">
        <x:v>Included</x:v>
      </x:c>
      <x:c r="N33" s="1"/>
      <x:c r="O33" s="1"/>
      <x:c r="P33" s="1"/>
    </x:row>
    <x:row r="34" ht="23" customHeight="1">
      <x:c r="A34" s="1"/>
      <x:c r="B34" s="12" t="str">
        <x:v>7031</x:v>
      </x:c>
      <x:c r="C34" s="6" t="str">
        <x:v>Jarvis St / Isabella St</x:v>
      </x:c>
      <x:c r="D34" s="6" t="n">
        <x:v>791</x:v>
      </x:c>
      <x:c r="E34" s="6" t="n">
        <x:v>791</x:v>
      </x:c>
      <x:c r="F34" s="6" t="n">
        <x:v>0</x:v>
      </x:c>
      <x:c r="G34" s="6" t="n">
        <x:v>11</x:v>
      </x:c>
      <x:c r="H34" s="6" t="n">
        <x:v>114</x:v>
      </x:c>
      <x:c r="I34" s="6" t="n">
        <x:v>25646</x:v>
      </x:c>
      <x:c r="J34" s="11" t="n">
        <x:f>E34/D34</x:f>
        <x:v>1</x:v>
      </x:c>
      <x:c r="K34" s="11" t="n">
        <x:f>F34/D34</x:f>
        <x:v>0</x:v>
      </x:c>
      <x:c r="L34" s="13" t="n">
        <x:f>I34/D34</x:f>
        <x:v>32.422250316055624</x:v>
      </x:c>
      <x:c r="M34" s="6" t="str">
        <x:v>Included</x:v>
      </x:c>
      <x:c r="N34" s="1"/>
      <x:c r="O34" s="1"/>
      <x:c r="P34" s="1"/>
    </x:row>
    <x:row r="35" ht="23" customHeight="1">
      <x:c r="A35" s="1"/>
      <x:c r="B35" s="12" t="str">
        <x:v>7032</x:v>
      </x:c>
      <x:c r="C35" s="6" t="str">
        <x:v>Augusta Ave / Dundas St W</x:v>
      </x:c>
      <x:c r="D35" s="6" t="n">
        <x:v>789</x:v>
      </x:c>
      <x:c r="E35" s="6" t="n">
        <x:v>787</x:v>
      </x:c>
      <x:c r="F35" s="6" t="n">
        <x:v>2</x:v>
      </x:c>
      <x:c r="G35" s="6" t="n">
        <x:v>11</x:v>
      </x:c>
      <x:c r="H35" s="6" t="n">
        <x:v>114</x:v>
      </x:c>
      <x:c r="I35" s="6" t="n">
        <x:v>7193</x:v>
      </x:c>
      <x:c r="J35" s="11" t="n">
        <x:f>E35/D35</x:f>
        <x:v>0.9974651457541192</x:v>
      </x:c>
      <x:c r="K35" s="11" t="n">
        <x:f>F35/D35</x:f>
        <x:v>0.0025348542458808617</x:v>
      </x:c>
      <x:c r="L35" s="13" t="n">
        <x:f>I35/D35</x:f>
        <x:v>9.11660329531052</x:v>
      </x:c>
      <x:c r="M35" s="6" t="str">
        <x:v>Included</x:v>
      </x:c>
      <x:c r="N35" s="1"/>
      <x:c r="O35" s="1"/>
      <x:c r="P35" s="1"/>
    </x:row>
    <x:row r="36" ht="23" customHeight="1">
      <x:c r="A36" s="1"/>
      <x:c r="B36" s="12" t="str">
        <x:v>7033</x:v>
      </x:c>
      <x:c r="C36" s="6" t="str">
        <x:v>Union Station</x:v>
      </x:c>
      <x:c r="D36" s="6" t="n">
        <x:v>792</x:v>
      </x:c>
      <x:c r="E36" s="6" t="n">
        <x:v>704</x:v>
      </x:c>
      <x:c r="F36" s="6" t="n">
        <x:v>88</x:v>
      </x:c>
      <x:c r="G36" s="6" t="n">
        <x:v>11</x:v>
      </x:c>
      <x:c r="H36" s="6" t="n">
        <x:v>114</x:v>
      </x:c>
      <x:c r="I36" s="6" t="n">
        <x:v>13895</x:v>
      </x:c>
      <x:c r="J36" s="11" t="n">
        <x:f>E36/D36</x:f>
        <x:v>0.8888888888888888</x:v>
      </x:c>
      <x:c r="K36" s="11" t="n">
        <x:f>F36/D36</x:f>
        <x:v>0.1111111111111111</x:v>
      </x:c>
      <x:c r="L36" s="13" t="n">
        <x:f>I36/D36</x:f>
        <x:v>17.54419191919192</x:v>
      </x:c>
      <x:c r="M36" s="6" t="str">
        <x:v>Included</x:v>
      </x:c>
      <x:c r="N36" s="1"/>
      <x:c r="O36" s="1"/>
      <x:c r="P36" s="1"/>
    </x:row>
    <x:row r="37" ht="23" customHeight="1">
      <x:c r="A37" s="1"/>
      <x:c r="B37" s="12" t="str">
        <x:v>7034</x:v>
      </x:c>
      <x:c r="C37" s="6" t="str">
        <x:v>Church St / Bloor St E</x:v>
      </x:c>
      <x:c r="D37" s="6" t="n">
        <x:v>792</x:v>
      </x:c>
      <x:c r="E37" s="6" t="n">
        <x:v>792</x:v>
      </x:c>
      <x:c r="F37" s="6" t="n">
        <x:v>0</x:v>
      </x:c>
      <x:c r="G37" s="6" t="n">
        <x:v>11</x:v>
      </x:c>
      <x:c r="H37" s="6" t="n">
        <x:v>116</x:v>
      </x:c>
      <x:c r="I37" s="6" t="n">
        <x:v>8412</x:v>
      </x:c>
      <x:c r="J37" s="11" t="n">
        <x:f>E37/D37</x:f>
        <x:v>1</x:v>
      </x:c>
      <x:c r="K37" s="11" t="n">
        <x:f>F37/D37</x:f>
        <x:v>0</x:v>
      </x:c>
      <x:c r="L37" s="13" t="n">
        <x:f>I37/D37</x:f>
        <x:v>10.621212121212121</x:v>
      </x:c>
      <x:c r="M37" s="6" t="str">
        <x:v>Included</x:v>
      </x:c>
      <x:c r="N37" s="1"/>
      <x:c r="O37" s="1"/>
      <x:c r="P37" s="1"/>
    </x:row>
    <x:row r="38" ht="23" customHeight="1">
      <x:c r="A38" s="1"/>
      <x:c r="B38" s="12" t="str">
        <x:v>7035</x:v>
      </x:c>
      <x:c r="C38" s="6" t="str">
        <x:v>Queen St W / Ossington Ave</x:v>
      </x:c>
      <x:c r="D38" s="6" t="n">
        <x:v>775</x:v>
      </x:c>
      <x:c r="E38" s="6" t="n">
        <x:v>692</x:v>
      </x:c>
      <x:c r="F38" s="6" t="n">
        <x:v>83</x:v>
      </x:c>
      <x:c r="G38" s="6" t="n">
        <x:v>11</x:v>
      </x:c>
      <x:c r="H38" s="6" t="n">
        <x:v>114</x:v>
      </x:c>
      <x:c r="I38" s="6" t="n">
        <x:v>8928</x:v>
      </x:c>
      <x:c r="J38" s="11" t="n">
        <x:f>E38/D38</x:f>
        <x:v>0.8929032258064517</x:v>
      </x:c>
      <x:c r="K38" s="11" t="n">
        <x:f>F38/D38</x:f>
        <x:v>0.10709677419354839</x:v>
      </x:c>
      <x:c r="L38" s="13" t="n">
        <x:f>I38/D38</x:f>
        <x:v>11.52</x:v>
      </x:c>
      <x:c r="M38" s="6" t="str">
        <x:v>Included</x:v>
      </x:c>
      <x:c r="N38" s="1"/>
      <x:c r="O38" s="1"/>
      <x:c r="P38" s="1"/>
    </x:row>
    <x:row r="39" ht="23" customHeight="1">
      <x:c r="A39" s="1"/>
      <x:c r="B39" s="12" t="str">
        <x:v>7036</x:v>
      </x:c>
      <x:c r="C39" s="6" t="str">
        <x:v>Trinity St /Front St E</x:v>
      </x:c>
      <x:c r="D39" s="6" t="n">
        <x:v>788</x:v>
      </x:c>
      <x:c r="E39" s="6" t="n">
        <x:v>563</x:v>
      </x:c>
      <x:c r="F39" s="6" t="n">
        <x:v>225</x:v>
      </x:c>
      <x:c r="G39" s="6" t="n">
        <x:v>11</x:v>
      </x:c>
      <x:c r="H39" s="6" t="n">
        <x:v>115</x:v>
      </x:c>
      <x:c r="I39" s="6" t="n">
        <x:v>5548</x:v>
      </x:c>
      <x:c r="J39" s="11" t="n">
        <x:f>E39/D39</x:f>
        <x:v>0.7144670050761421</x:v>
      </x:c>
      <x:c r="K39" s="11" t="n">
        <x:f>F39/D39</x:f>
        <x:v>0.28553299492385786</x:v>
      </x:c>
      <x:c r="L39" s="13" t="n">
        <x:f>I39/D39</x:f>
        <x:v>7.040609137055838</x:v>
      </x:c>
      <x:c r="M39" s="6" t="str">
        <x:v>Included</x:v>
      </x:c>
      <x:c r="N39" s="1"/>
      <x:c r="O39" s="1"/>
      <x:c r="P39" s="1"/>
    </x:row>
    <x:row r="40" ht="23" customHeight="1">
      <x:c r="A40" s="1"/>
      <x:c r="B40" s="12" t="str">
        <x:v>7037</x:v>
      </x:c>
      <x:c r="C40" s="6" t="str">
        <x:v>Bathurst St / Dundas St W</x:v>
      </x:c>
      <x:c r="D40" s="6" t="n">
        <x:v>794</x:v>
      </x:c>
      <x:c r="E40" s="6" t="n">
        <x:v>794</x:v>
      </x:c>
      <x:c r="F40" s="6" t="n">
        <x:v>0</x:v>
      </x:c>
      <x:c r="G40" s="6" t="n">
        <x:v>11</x:v>
      </x:c>
      <x:c r="H40" s="6" t="n">
        <x:v>115</x:v>
      </x:c>
      <x:c r="I40" s="6" t="n">
        <x:v>24651</x:v>
      </x:c>
      <x:c r="J40" s="11" t="n">
        <x:f>E40/D40</x:f>
        <x:v>1</x:v>
      </x:c>
      <x:c r="K40" s="11" t="n">
        <x:f>F40/D40</x:f>
        <x:v>0</x:v>
      </x:c>
      <x:c r="L40" s="13" t="n">
        <x:f>I40/D40</x:f>
        <x:v>31.046599496221663</x:v>
      </x:c>
      <x:c r="M40" s="6" t="str">
        <x:v>Included</x:v>
      </x:c>
      <x:c r="N40" s="1"/>
      <x:c r="O40" s="1"/>
      <x:c r="P40" s="1"/>
    </x:row>
    <x:row r="41" ht="23" customHeight="1">
      <x:c r="A41" s="1"/>
      <x:c r="B41" s="12" t="str">
        <x:v>7038</x:v>
      </x:c>
      <x:c r="C41" s="6" t="str">
        <x:v>Dundas St W / Yonge St</x:v>
      </x:c>
      <x:c r="D41" s="6" t="n">
        <x:v>793</x:v>
      </x:c>
      <x:c r="E41" s="6" t="n">
        <x:v>793</x:v>
      </x:c>
      <x:c r="F41" s="6" t="n">
        <x:v>0</x:v>
      </x:c>
      <x:c r="G41" s="6" t="n">
        <x:v>11</x:v>
      </x:c>
      <x:c r="H41" s="6" t="n">
        <x:v>115</x:v>
      </x:c>
      <x:c r="I41" s="6" t="n">
        <x:v>14026</x:v>
      </x:c>
      <x:c r="J41" s="11" t="n">
        <x:f>E41/D41</x:f>
        <x:v>1</x:v>
      </x:c>
      <x:c r="K41" s="11" t="n">
        <x:f>F41/D41</x:f>
        <x:v>0</x:v>
      </x:c>
      <x:c r="L41" s="13" t="n">
        <x:f>I41/D41</x:f>
        <x:v>17.687263556116015</x:v>
      </x:c>
      <x:c r="M41" s="6" t="str">
        <x:v>Included</x:v>
      </x:c>
      <x:c r="N41" s="1"/>
      <x:c r="O41" s="1"/>
      <x:c r="P41" s="1"/>
    </x:row>
    <x:row r="42" ht="23" customHeight="1">
      <x:c r="A42" s="1"/>
      <x:c r="B42" s="12" t="str">
        <x:v>7039</x:v>
      </x:c>
      <x:c r="C42" s="6" t="str">
        <x:v>Simcoe St / Michael Sweet Ave</x:v>
      </x:c>
      <x:c r="D42" s="6" t="n">
        <x:v>780</x:v>
      </x:c>
      <x:c r="E42" s="6" t="n">
        <x:v>780</x:v>
      </x:c>
      <x:c r="F42" s="6" t="n">
        <x:v>0</x:v>
      </x:c>
      <x:c r="G42" s="6" t="n">
        <x:v>11</x:v>
      </x:c>
      <x:c r="H42" s="6" t="n">
        <x:v>114</x:v>
      </x:c>
      <x:c r="I42" s="6" t="n">
        <x:v>9654</x:v>
      </x:c>
      <x:c r="J42" s="11" t="n">
        <x:f>E42/D42</x:f>
        <x:v>1</x:v>
      </x:c>
      <x:c r="K42" s="11" t="n">
        <x:f>F42/D42</x:f>
        <x:v>0</x:v>
      </x:c>
      <x:c r="L42" s="13" t="n">
        <x:f>I42/D42</x:f>
        <x:v>12.376923076923077</x:v>
      </x:c>
      <x:c r="M42" s="6" t="str">
        <x:v>Included</x:v>
      </x:c>
      <x:c r="N42" s="1"/>
      <x:c r="O42" s="1"/>
      <x:c r="P42" s="1"/>
    </x:row>
    <x:row r="43" ht="23" customHeight="1">
      <x:c r="A43" s="1"/>
      <x:c r="B43" s="12" t="str">
        <x:v>7040</x:v>
      </x:c>
      <x:c r="C43" s="6" t="str">
        <x:v>Euclid Ave / Bloor St W</x:v>
      </x:c>
      <x:c r="D43" s="6" t="n">
        <x:v>786</x:v>
      </x:c>
      <x:c r="E43" s="6" t="n">
        <x:v>786</x:v>
      </x:c>
      <x:c r="F43" s="6" t="n">
        <x:v>0</x:v>
      </x:c>
      <x:c r="G43" s="6" t="n">
        <x:v>11</x:v>
      </x:c>
      <x:c r="H43" s="6" t="n">
        <x:v>115</x:v>
      </x:c>
      <x:c r="I43" s="6" t="n">
        <x:v>12490</x:v>
      </x:c>
      <x:c r="J43" s="11" t="n">
        <x:f>E43/D43</x:f>
        <x:v>1</x:v>
      </x:c>
      <x:c r="K43" s="11" t="n">
        <x:f>F43/D43</x:f>
        <x:v>0</x:v>
      </x:c>
      <x:c r="L43" s="13" t="n">
        <x:f>I43/D43</x:f>
        <x:v>15.89058524173028</x:v>
      </x:c>
      <x:c r="M43" s="6" t="str">
        <x:v>Included</x:v>
      </x:c>
      <x:c r="N43" s="1"/>
      <x:c r="O43" s="1"/>
      <x:c r="P43" s="1"/>
    </x:row>
    <x:row r="44" ht="23" customHeight="1">
      <x:c r="A44" s="1"/>
      <x:c r="B44" s="12" t="str">
        <x:v>7041</x:v>
      </x:c>
      <x:c r="C44" s="6" t="str">
        <x:v>Edward St / Yonge St</x:v>
      </x:c>
      <x:c r="D44" s="6" t="n">
        <x:v>787</x:v>
      </x:c>
      <x:c r="E44" s="6" t="n">
        <x:v>787</x:v>
      </x:c>
      <x:c r="F44" s="6" t="n">
        <x:v>0</x:v>
      </x:c>
      <x:c r="G44" s="6" t="n">
        <x:v>11</x:v>
      </x:c>
      <x:c r="H44" s="6" t="n">
        <x:v>114</x:v>
      </x:c>
      <x:c r="I44" s="6" t="n">
        <x:v>13030</x:v>
      </x:c>
      <x:c r="J44" s="11" t="n">
        <x:f>E44/D44</x:f>
        <x:v>1</x:v>
      </x:c>
      <x:c r="K44" s="11" t="n">
        <x:f>F44/D44</x:f>
        <x:v>0</x:v>
      </x:c>
      <x:c r="L44" s="13" t="n">
        <x:f>I44/D44</x:f>
        <x:v>16.55654383735705</x:v>
      </x:c>
      <x:c r="M44" s="6" t="str">
        <x:v>Included</x:v>
      </x:c>
      <x:c r="N44" s="1"/>
      <x:c r="O44" s="1"/>
      <x:c r="P44" s="1"/>
    </x:row>
    <x:row r="45" ht="23" customHeight="1">
      <x:c r="A45" s="1"/>
      <x:c r="B45" s="12" t="str">
        <x:v>7042</x:v>
      </x:c>
      <x:c r="C45" s="6" t="str">
        <x:v>Sherbourne St / Wellesley St E</x:v>
      </x:c>
      <x:c r="D45" s="6" t="n">
        <x:v>786</x:v>
      </x:c>
      <x:c r="E45" s="6" t="n">
        <x:v>773</x:v>
      </x:c>
      <x:c r="F45" s="6" t="n">
        <x:v>13</x:v>
      </x:c>
      <x:c r="G45" s="6" t="n">
        <x:v>11</x:v>
      </x:c>
      <x:c r="H45" s="6" t="n">
        <x:v>115</x:v>
      </x:c>
      <x:c r="I45" s="6" t="n">
        <x:v>16749</x:v>
      </x:c>
      <x:c r="J45" s="11" t="n">
        <x:f>E45/D45</x:f>
        <x:v>0.9834605597964376</x:v>
      </x:c>
      <x:c r="K45" s="11" t="n">
        <x:f>F45/D45</x:f>
        <x:v>0.01653944020356234</x:v>
      </x:c>
      <x:c r="L45" s="13" t="n">
        <x:f>I45/D45</x:f>
        <x:v>21.30916030534351</x:v>
      </x:c>
      <x:c r="M45" s="6" t="str">
        <x:v>Included</x:v>
      </x:c>
      <x:c r="N45" s="1"/>
      <x:c r="O45" s="1"/>
      <x:c r="P45" s="1"/>
    </x:row>
    <x:row r="46" ht="23" customHeight="1">
      <x:c r="B46" s="12" t="str">
        <x:v>7043</x:v>
      </x:c>
      <x:c r="C46" s="6" t="str">
        <x:v>Queens Quay W / Lower Simcoe St</x:v>
      </x:c>
      <x:c r="D46" s="6" t="n">
        <x:v>784</x:v>
      </x:c>
      <x:c r="E46" s="6" t="n">
        <x:v>708</x:v>
      </x:c>
      <x:c r="F46" s="6" t="n">
        <x:v>76</x:v>
      </x:c>
      <x:c r="G46" s="6" t="n">
        <x:v>11</x:v>
      </x:c>
      <x:c r="H46" s="6" t="n">
        <x:v>114</x:v>
      </x:c>
      <x:c r="I46" s="6" t="n">
        <x:v>3842</x:v>
      </x:c>
      <x:c r="J46" s="11" t="n">
        <x:f>E46/D46</x:f>
        <x:v>0.9030612244897959</x:v>
      </x:c>
      <x:c r="K46" s="11" t="n">
        <x:f>F46/D46</x:f>
        <x:v>0.09693877551020408</x:v>
      </x:c>
      <x:c r="L46" s="13" t="n">
        <x:f>I46/D46</x:f>
        <x:v>4.900510204081633</x:v>
      </x:c>
      <x:c r="M46" s="6" t="str">
        <x:v>Included</x:v>
      </x:c>
    </x:row>
    <x:row r="47" ht="23" customHeight="1">
      <x:c r="B47" s="12" t="str">
        <x:v>7044</x:v>
      </x:c>
      <x:c r="C47" s="6" t="str">
        <x:v>Church St / Alexander St</x:v>
      </x:c>
      <x:c r="D47" s="6" t="n">
        <x:v>769</x:v>
      </x:c>
      <x:c r="E47" s="6" t="n">
        <x:v>769</x:v>
      </x:c>
      <x:c r="F47" s="6" t="n">
        <x:v>0</x:v>
      </x:c>
      <x:c r="G47" s="6" t="n">
        <x:v>11</x:v>
      </x:c>
      <x:c r="H47" s="6" t="n">
        <x:v>115</x:v>
      </x:c>
      <x:c r="I47" s="6" t="n">
        <x:v>19518</x:v>
      </x:c>
      <x:c r="J47" s="11" t="n">
        <x:f>E47/D47</x:f>
        <x:v>1</x:v>
      </x:c>
      <x:c r="K47" s="11" t="n">
        <x:f>F47/D47</x:f>
        <x:v>0</x:v>
      </x:c>
      <x:c r="L47" s="13" t="n">
        <x:f>I47/D47</x:f>
        <x:v>25.381014304291288</x:v>
      </x:c>
      <x:c r="M47" s="6" t="str">
        <x:v>Included</x:v>
      </x:c>
    </x:row>
    <x:row r="48" ht="23" customHeight="1">
      <x:c r="B48" s="12" t="str">
        <x:v>7045</x:v>
      </x:c>
      <x:c r="C48" s="6" t="str">
        <x:v>Bond St / Queen St E</x:v>
      </x:c>
      <x:c r="D48" s="6" t="n">
        <x:v>792</x:v>
      </x:c>
      <x:c r="E48" s="6" t="n">
        <x:v>791</x:v>
      </x:c>
      <x:c r="F48" s="6" t="n">
        <x:v>1</x:v>
      </x:c>
      <x:c r="G48" s="6" t="n">
        <x:v>11</x:v>
      </x:c>
      <x:c r="H48" s="6" t="n">
        <x:v>115</x:v>
      </x:c>
      <x:c r="I48" s="6" t="n">
        <x:v>22542</x:v>
      </x:c>
      <x:c r="J48" s="11" t="n">
        <x:f>E48/D48</x:f>
        <x:v>0.9987373737373737</x:v>
      </x:c>
      <x:c r="K48" s="11" t="n">
        <x:f>F48/D48</x:f>
        <x:v>0.0012626262626262627</x:v>
      </x:c>
      <x:c r="L48" s="13" t="n">
        <x:f>I48/D48</x:f>
        <x:v>28.46212121212121</x:v>
      </x:c>
      <x:c r="M48" s="6" t="str">
        <x:v>Included</x:v>
      </x:c>
    </x:row>
    <x:row r="49" ht="23" customHeight="1">
      <x:c r="B49" s="12" t="str">
        <x:v>7046</x:v>
      </x:c>
      <x:c r="C49" s="6" t="str">
        <x:v>Niagara St / Richmond St W</x:v>
      </x:c>
      <x:c r="D49" s="6" t="n">
        <x:v>784</x:v>
      </x:c>
      <x:c r="E49" s="6" t="n">
        <x:v>569</x:v>
      </x:c>
      <x:c r="F49" s="6" t="n">
        <x:v>215</x:v>
      </x:c>
      <x:c r="G49" s="6" t="n">
        <x:v>11</x:v>
      </x:c>
      <x:c r="H49" s="6" t="n">
        <x:v>115</x:v>
      </x:c>
      <x:c r="I49" s="6" t="n">
        <x:v>4113</x:v>
      </x:c>
      <x:c r="J49" s="11" t="n">
        <x:f>E49/D49</x:f>
        <x:v>0.7257653061224489</x:v>
      </x:c>
      <x:c r="K49" s="11" t="n">
        <x:f>F49/D49</x:f>
        <x:v>0.274234693877551</x:v>
      </x:c>
      <x:c r="L49" s="13" t="n">
        <x:f>I49/D49</x:f>
        <x:v>5.246173469387755</x:v>
      </x:c>
      <x:c r="M49" s="6" t="str">
        <x:v>Included</x:v>
      </x:c>
    </x:row>
    <x:row r="50" ht="23" customHeight="1">
      <x:c r="B50" s="12" t="str">
        <x:v>7047</x:v>
      </x:c>
      <x:c r="C50" s="6" t="str">
        <x:v>University Ave / Gerrard St W (East Side)</x:v>
      </x:c>
      <x:c r="D50" s="6" t="n">
        <x:v>279</x:v>
      </x:c>
      <x:c r="E50" s="6" t="n">
        <x:v>278</x:v>
      </x:c>
      <x:c r="F50" s="6" t="n">
        <x:v>1</x:v>
      </x:c>
      <x:c r="G50" s="6" t="n">
        <x:v>4</x:v>
      </x:c>
      <x:c r="H50" s="6" t="n">
        <x:v>30</x:v>
      </x:c>
      <x:c r="I50" s="6" t="n">
        <x:v>4726</x:v>
      </x:c>
      <x:c r="J50" s="11" t="n">
        <x:f>E50/D50</x:f>
        <x:v>0.996415770609319</x:v>
      </x:c>
      <x:c r="K50" s="11" t="n">
        <x:f>F50/D50</x:f>
        <x:v>0.0035842293906810036</x:v>
      </x:c>
      <x:c r="L50" s="13" t="n">
        <x:f>I50/D50</x:f>
        <x:v>16.939068100358423</x:v>
      </x:c>
      <x:c r="M50" s="6" t="str">
        <x:v>Low support</x:v>
      </x:c>
    </x:row>
    <x:row r="51" ht="23" customHeight="1">
      <x:c r="B51" s="12" t="str">
        <x:v>7048</x:v>
      </x:c>
      <x:c r="C51" s="6" t="str">
        <x:v>Front St W / Yonge St (Hockey Hall of Fame)</x:v>
      </x:c>
      <x:c r="D51" s="6" t="n">
        <x:v>793</x:v>
      </x:c>
      <x:c r="E51" s="6" t="n">
        <x:v>779</x:v>
      </x:c>
      <x:c r="F51" s="6" t="n">
        <x:v>14</x:v>
      </x:c>
      <x:c r="G51" s="6" t="n">
        <x:v>11</x:v>
      </x:c>
      <x:c r="H51" s="6" t="n">
        <x:v>115</x:v>
      </x:c>
      <x:c r="I51" s="6" t="n">
        <x:v>18281</x:v>
      </x:c>
      <x:c r="J51" s="11" t="n">
        <x:f>E51/D51</x:f>
        <x:v>0.9823455233291298</x:v>
      </x:c>
      <x:c r="K51" s="11" t="n">
        <x:f>F51/D51</x:f>
        <x:v>0.017654476670870115</x:v>
      </x:c>
      <x:c r="L51" s="13" t="n">
        <x:f>I51/D51</x:f>
        <x:v>23.05296343001261</x:v>
      </x:c>
      <x:c r="M51" s="6" t="str">
        <x:v>Included</x:v>
      </x:c>
    </x:row>
    <x:row r="52" ht="23" customHeight="1">
      <x:c r="B52" s="12" t="str">
        <x:v>7049</x:v>
      </x:c>
      <x:c r="C52" s="6" t="str">
        <x:v>Portland St / Queen St W</x:v>
      </x:c>
      <x:c r="D52" s="6" t="n">
        <x:v>784</x:v>
      </x:c>
      <x:c r="E52" s="6" t="n">
        <x:v>676</x:v>
      </x:c>
      <x:c r="F52" s="6" t="n">
        <x:v>108</x:v>
      </x:c>
      <x:c r="G52" s="6" t="n">
        <x:v>11</x:v>
      </x:c>
      <x:c r="H52" s="6" t="n">
        <x:v>115</x:v>
      </x:c>
      <x:c r="I52" s="6" t="n">
        <x:v>4038</x:v>
      </x:c>
      <x:c r="J52" s="11" t="n">
        <x:f>E52/D52</x:f>
        <x:v>0.8622448979591837</x:v>
      </x:c>
      <x:c r="K52" s="11" t="n">
        <x:f>F52/D52</x:f>
        <x:v>0.1377551020408163</x:v>
      </x:c>
      <x:c r="L52" s="13" t="n">
        <x:f>I52/D52</x:f>
        <x:v>5.150510204081633</x:v>
      </x:c>
      <x:c r="M52" s="6" t="str">
        <x:v>Included</x:v>
      </x:c>
    </x:row>
    <x:row r="53" ht="23" customHeight="1">
      <x:c r="B53" s="12" t="str">
        <x:v>7050</x:v>
      </x:c>
      <x:c r="C53" s="6" t="str">
        <x:v>Richmond St E / Jarvis St Green P</x:v>
      </x:c>
      <x:c r="D53" s="6" t="n">
        <x:v>792</x:v>
      </x:c>
      <x:c r="E53" s="6" t="n">
        <x:v>743</x:v>
      </x:c>
      <x:c r="F53" s="6" t="n">
        <x:v>49</x:v>
      </x:c>
      <x:c r="G53" s="6" t="n">
        <x:v>11</x:v>
      </x:c>
      <x:c r="H53" s="6" t="n">
        <x:v>115</x:v>
      </x:c>
      <x:c r="I53" s="6" t="n">
        <x:v>6664</x:v>
      </x:c>
      <x:c r="J53" s="11" t="n">
        <x:f>E53/D53</x:f>
        <x:v>0.9381313131313131</x:v>
      </x:c>
      <x:c r="K53" s="11" t="n">
        <x:f>F53/D53</x:f>
        <x:v>0.06186868686868687</x:v>
      </x:c>
      <x:c r="L53" s="13" t="n">
        <x:f>I53/D53</x:f>
        <x:v>8.414141414141413</x:v>
      </x:c>
      <x:c r="M53" s="6" t="str">
        <x:v>Included</x:v>
      </x:c>
    </x:row>
    <x:row r="54" ht="23" customHeight="1">
      <x:c r="B54" s="12" t="str">
        <x:v>7052</x:v>
      </x:c>
      <x:c r="C54" s="6" t="str">
        <x:v>Wellington St W / Bay St</x:v>
      </x:c>
      <x:c r="D54" s="6" t="n">
        <x:v>783</x:v>
      </x:c>
      <x:c r="E54" s="6" t="n">
        <x:v>771</x:v>
      </x:c>
      <x:c r="F54" s="6" t="n">
        <x:v>12</x:v>
      </x:c>
      <x:c r="G54" s="6" t="n">
        <x:v>11</x:v>
      </x:c>
      <x:c r="H54" s="6" t="n">
        <x:v>114</x:v>
      </x:c>
      <x:c r="I54" s="6" t="n">
        <x:v>28020</x:v>
      </x:c>
      <x:c r="J54" s="11" t="n">
        <x:f>E54/D54</x:f>
        <x:v>0.9846743295019157</x:v>
      </x:c>
      <x:c r="K54" s="11" t="n">
        <x:f>F54/D54</x:f>
        <x:v>0.01532567049808429</x:v>
      </x:c>
      <x:c r="L54" s="13" t="n">
        <x:f>I54/D54</x:f>
        <x:v>35.78544061302682</x:v>
      </x:c>
      <x:c r="M54" s="6" t="str">
        <x:v>Included</x:v>
      </x:c>
    </x:row>
    <x:row r="55" ht="23" customHeight="1">
      <x:c r="B55" s="12" t="str">
        <x:v>7053</x:v>
      </x:c>
      <x:c r="C55" s="6" t="str">
        <x:v>Metro Hall Plaza</x:v>
      </x:c>
      <x:c r="D55" s="6" t="n">
        <x:v>783</x:v>
      </x:c>
      <x:c r="E55" s="6" t="n">
        <x:v>666</x:v>
      </x:c>
      <x:c r="F55" s="6" t="n">
        <x:v>117</x:v>
      </x:c>
      <x:c r="G55" s="6" t="n">
        <x:v>11</x:v>
      </x:c>
      <x:c r="H55" s="6" t="n">
        <x:v>114</x:v>
      </x:c>
      <x:c r="I55" s="6" t="n">
        <x:v>6997</x:v>
      </x:c>
      <x:c r="J55" s="11" t="n">
        <x:f>E55/D55</x:f>
        <x:v>0.8505747126436781</x:v>
      </x:c>
      <x:c r="K55" s="11" t="n">
        <x:f>F55/D55</x:f>
        <x:v>0.14942528735632185</x:v>
      </x:c>
      <x:c r="L55" s="13" t="n">
        <x:f>I55/D55</x:f>
        <x:v>8.936143039591315</x:v>
      </x:c>
      <x:c r="M55" s="6" t="str">
        <x:v>Included</x:v>
      </x:c>
    </x:row>
    <x:row r="56" ht="23" customHeight="1">
      <x:c r="B56" s="12" t="str">
        <x:v>7054</x:v>
      </x:c>
      <x:c r="C56" s="6" t="str">
        <x:v>Navy Wharf Crt / Bremner Blvd</x:v>
      </x:c>
      <x:c r="D56" s="6" t="n">
        <x:v>789</x:v>
      </x:c>
      <x:c r="E56" s="6" t="n">
        <x:v>673</x:v>
      </x:c>
      <x:c r="F56" s="6" t="n">
        <x:v>116</x:v>
      </x:c>
      <x:c r="G56" s="6" t="n">
        <x:v>11</x:v>
      </x:c>
      <x:c r="H56" s="6" t="n">
        <x:v>115</x:v>
      </x:c>
      <x:c r="I56" s="6" t="n">
        <x:v>4680</x:v>
      </x:c>
      <x:c r="J56" s="11" t="n">
        <x:f>E56/D56</x:f>
        <x:v>0.85297845373891</x:v>
      </x:c>
      <x:c r="K56" s="11" t="n">
        <x:f>F56/D56</x:f>
        <x:v>0.14702154626108999</x:v>
      </x:c>
      <x:c r="L56" s="13" t="n">
        <x:f>I56/D56</x:f>
        <x:v>5.931558935361217</x:v>
      </x:c>
      <x:c r="M56" s="6" t="str">
        <x:v>Included</x:v>
      </x:c>
    </x:row>
    <x:row r="57" ht="23" customHeight="1">
      <x:c r="B57" s="12" t="str">
        <x:v>7055</x:v>
      </x:c>
      <x:c r="C57" s="6" t="str">
        <x:v>Jarvis St / Carlton St</x:v>
      </x:c>
      <x:c r="D57" s="6" t="n">
        <x:v>786</x:v>
      </x:c>
      <x:c r="E57" s="6" t="n">
        <x:v>654</x:v>
      </x:c>
      <x:c r="F57" s="6" t="n">
        <x:v>132</x:v>
      </x:c>
      <x:c r="G57" s="6" t="n">
        <x:v>11</x:v>
      </x:c>
      <x:c r="H57" s="6" t="n">
        <x:v>115</x:v>
      </x:c>
      <x:c r="I57" s="6" t="n">
        <x:v>5802</x:v>
      </x:c>
      <x:c r="J57" s="11" t="n">
        <x:f>E57/D57</x:f>
        <x:v>0.8320610687022901</x:v>
      </x:c>
      <x:c r="K57" s="11" t="n">
        <x:f>F57/D57</x:f>
        <x:v>0.16793893129770993</x:v>
      </x:c>
      <x:c r="L57" s="13" t="n">
        <x:f>I57/D57</x:f>
        <x:v>7.3816793893129775</x:v>
      </x:c>
      <x:c r="M57" s="6" t="str">
        <x:v>Included</x:v>
      </x:c>
    </x:row>
    <x:row r="58" ht="23" customHeight="1">
      <x:c r="B58" s="12" t="str">
        <x:v>7057</x:v>
      </x:c>
      <x:c r="C58" s="6" t="str">
        <x:v>Simcoe St / Wellington St W South</x:v>
      </x:c>
      <x:c r="D58" s="6" t="n">
        <x:v>793</x:v>
      </x:c>
      <x:c r="E58" s="6" t="n">
        <x:v>684</x:v>
      </x:c>
      <x:c r="F58" s="6" t="n">
        <x:v>109</x:v>
      </x:c>
      <x:c r="G58" s="6" t="n">
        <x:v>11</x:v>
      </x:c>
      <x:c r="H58" s="6" t="n">
        <x:v>114</x:v>
      </x:c>
      <x:c r="I58" s="6" t="n">
        <x:v>8972</x:v>
      </x:c>
      <x:c r="J58" s="11" t="n">
        <x:f>E58/D58</x:f>
        <x:v>0.862547288776797</x:v>
      </x:c>
      <x:c r="K58" s="11" t="n">
        <x:f>F58/D58</x:f>
        <x:v>0.13745271122320302</x:v>
      </x:c>
      <x:c r="L58" s="13" t="n">
        <x:f>I58/D58</x:f>
        <x:v>11.313997477931904</x:v>
      </x:c>
      <x:c r="M58" s="6" t="str">
        <x:v>Included</x:v>
      </x:c>
    </x:row>
    <x:row r="59" ht="23" customHeight="1">
      <x:c r="B59" s="12" t="str">
        <x:v>7058</x:v>
      </x:c>
      <x:c r="C59" s="6" t="str">
        <x:v>Huron St / Harbord St</x:v>
      </x:c>
      <x:c r="D59" s="6" t="n">
        <x:v>784</x:v>
      </x:c>
      <x:c r="E59" s="6" t="n">
        <x:v>753</x:v>
      </x:c>
      <x:c r="F59" s="6" t="n">
        <x:v>31</x:v>
      </x:c>
      <x:c r="G59" s="6" t="n">
        <x:v>11</x:v>
      </x:c>
      <x:c r="H59" s="6" t="n">
        <x:v>115</x:v>
      </x:c>
      <x:c r="I59" s="6" t="n">
        <x:v>19588</x:v>
      </x:c>
      <x:c r="J59" s="11" t="n">
        <x:f>E59/D59</x:f>
        <x:v>0.9604591836734694</x:v>
      </x:c>
      <x:c r="K59" s="11" t="n">
        <x:f>F59/D59</x:f>
        <x:v>0.039540816326530615</x:v>
      </x:c>
      <x:c r="L59" s="13" t="n">
        <x:f>I59/D59</x:f>
        <x:v>24.98469387755102</x:v>
      </x:c>
      <x:c r="M59" s="6" t="str">
        <x:v>Included</x:v>
      </x:c>
    </x:row>
    <x:row r="60" ht="23" customHeight="1">
      <x:c r="B60" s="12" t="str">
        <x:v>7059</x:v>
      </x:c>
      <x:c r="C60" s="6" t="str">
        <x:v>Front St W / Blue Jays Way</x:v>
      </x:c>
      <x:c r="D60" s="6" t="n">
        <x:v>784</x:v>
      </x:c>
      <x:c r="E60" s="6" t="n">
        <x:v>709</x:v>
      </x:c>
      <x:c r="F60" s="6" t="n">
        <x:v>75</x:v>
      </x:c>
      <x:c r="G60" s="6" t="n">
        <x:v>11</x:v>
      </x:c>
      <x:c r="H60" s="6" t="n">
        <x:v>114</x:v>
      </x:c>
      <x:c r="I60" s="6" t="n">
        <x:v>5208</x:v>
      </x:c>
      <x:c r="J60" s="11" t="n">
        <x:f>E60/D60</x:f>
        <x:v>0.9043367346938775</x:v>
      </x:c>
      <x:c r="K60" s="11" t="n">
        <x:f>F60/D60</x:f>
        <x:v>0.09566326530612244</x:v>
      </x:c>
      <x:c r="L60" s="13" t="n">
        <x:f>I60/D60</x:f>
        <x:v>6.642857142857143</x:v>
      </x:c>
      <x:c r="M60" s="6" t="str">
        <x:v>Included</x:v>
      </x:c>
    </x:row>
    <x:row r="61" ht="23" customHeight="1">
      <x:c r="B61" s="12" t="str">
        <x:v>7061</x:v>
      </x:c>
      <x:c r="C61" s="6" t="str">
        <x:v>Dalton Rd / Bloor St W</x:v>
      </x:c>
      <x:c r="D61" s="6" t="n">
        <x:v>786</x:v>
      </x:c>
      <x:c r="E61" s="6" t="n">
        <x:v>786</x:v>
      </x:c>
      <x:c r="F61" s="6" t="n">
        <x:v>0</x:v>
      </x:c>
      <x:c r="G61" s="6" t="n">
        <x:v>11</x:v>
      </x:c>
      <x:c r="H61" s="6" t="n">
        <x:v>116</x:v>
      </x:c>
      <x:c r="I61" s="6" t="n">
        <x:v>9265</x:v>
      </x:c>
      <x:c r="J61" s="11" t="n">
        <x:f>E61/D61</x:f>
        <x:v>1</x:v>
      </x:c>
      <x:c r="K61" s="11" t="n">
        <x:f>F61/D61</x:f>
        <x:v>0</x:v>
      </x:c>
      <x:c r="L61" s="13" t="n">
        <x:f>I61/D61</x:f>
        <x:v>11.787531806615776</x:v>
      </x:c>
      <x:c r="M61" s="6" t="str">
        <x:v>Included</x:v>
      </x:c>
    </x:row>
    <x:row r="62" ht="23" customHeight="1">
      <x:c r="B62" s="12" t="str">
        <x:v>7063</x:v>
      </x:c>
      <x:c r="C62" s="6" t="str">
        <x:v>Queen's Park / Bloor St W</x:v>
      </x:c>
      <x:c r="D62" s="6" t="n">
        <x:v>780</x:v>
      </x:c>
      <x:c r="E62" s="6" t="n">
        <x:v>780</x:v>
      </x:c>
      <x:c r="F62" s="6" t="n">
        <x:v>0</x:v>
      </x:c>
      <x:c r="G62" s="6" t="n">
        <x:v>11</x:v>
      </x:c>
      <x:c r="H62" s="6" t="n">
        <x:v>114</x:v>
      </x:c>
      <x:c r="I62" s="6" t="n">
        <x:v>15137</x:v>
      </x:c>
      <x:c r="J62" s="11" t="n">
        <x:f>E62/D62</x:f>
        <x:v>1</x:v>
      </x:c>
      <x:c r="K62" s="11" t="n">
        <x:f>F62/D62</x:f>
        <x:v>0</x:v>
      </x:c>
      <x:c r="L62" s="13" t="n">
        <x:f>I62/D62</x:f>
        <x:v>19.406410256410258</x:v>
      </x:c>
      <x:c r="M62" s="6" t="str">
        <x:v>Included</x:v>
      </x:c>
    </x:row>
    <x:row r="63" ht="23" customHeight="1">
      <x:c r="B63" s="12" t="str">
        <x:v>7064</x:v>
      </x:c>
      <x:c r="C63" s="6" t="str">
        <x:v>51 Parliament St</x:v>
      </x:c>
      <x:c r="D63" s="6" t="n">
        <x:v>782</x:v>
      </x:c>
      <x:c r="E63" s="6" t="n">
        <x:v>712</x:v>
      </x:c>
      <x:c r="F63" s="6" t="n">
        <x:v>70</x:v>
      </x:c>
      <x:c r="G63" s="6" t="n">
        <x:v>11</x:v>
      </x:c>
      <x:c r="H63" s="6" t="n">
        <x:v>114</x:v>
      </x:c>
      <x:c r="I63" s="6" t="n">
        <x:v>3168</x:v>
      </x:c>
      <x:c r="J63" s="11" t="n">
        <x:f>E63/D63</x:f>
        <x:v>0.9104859335038363</x:v>
      </x:c>
      <x:c r="K63" s="11" t="n">
        <x:f>F63/D63</x:f>
        <x:v>0.08951406649616368</x:v>
      </x:c>
      <x:c r="L63" s="13" t="n">
        <x:f>I63/D63</x:f>
        <x:v>4.051150895140665</x:v>
      </x:c>
      <x:c r="M63" s="6" t="str">
        <x:v>Included</x:v>
      </x:c>
    </x:row>
    <x:row r="64" ht="23" customHeight="1">
      <x:c r="B64" s="12" t="str">
        <x:v>7065</x:v>
      </x:c>
      <x:c r="C64" s="6" t="str">
        <x:v>Dundas St E / Parliament St</x:v>
      </x:c>
      <x:c r="D64" s="6" t="n">
        <x:v>790</x:v>
      </x:c>
      <x:c r="E64" s="6" t="n">
        <x:v>681</x:v>
      </x:c>
      <x:c r="F64" s="6" t="n">
        <x:v>109</x:v>
      </x:c>
      <x:c r="G64" s="6" t="n">
        <x:v>11</x:v>
      </x:c>
      <x:c r="H64" s="6" t="n">
        <x:v>114</x:v>
      </x:c>
      <x:c r="I64" s="6" t="n">
        <x:v>5923</x:v>
      </x:c>
      <x:c r="J64" s="11" t="n">
        <x:f>E64/D64</x:f>
        <x:v>0.8620253164556962</x:v>
      </x:c>
      <x:c r="K64" s="11" t="n">
        <x:f>F64/D64</x:f>
        <x:v>0.1379746835443038</x:v>
      </x:c>
      <x:c r="L64" s="13" t="n">
        <x:f>I64/D64</x:f>
        <x:v>7.49746835443038</x:v>
      </x:c>
      <x:c r="M64" s="6" t="str">
        <x:v>Included</x:v>
      </x:c>
    </x:row>
    <x:row r="65" ht="23" customHeight="1">
      <x:c r="B65" s="12" t="str">
        <x:v>7066</x:v>
      </x:c>
      <x:c r="C65" s="6" t="str">
        <x:v>Willcocks St / St. George St</x:v>
      </x:c>
      <x:c r="D65" s="6" t="n">
        <x:v>788</x:v>
      </x:c>
      <x:c r="E65" s="6" t="n">
        <x:v>690</x:v>
      </x:c>
      <x:c r="F65" s="6" t="n">
        <x:v>98</x:v>
      </x:c>
      <x:c r="G65" s="6" t="n">
        <x:v>11</x:v>
      </x:c>
      <x:c r="H65" s="6" t="n">
        <x:v>114</x:v>
      </x:c>
      <x:c r="I65" s="6" t="n">
        <x:v>7373</x:v>
      </x:c>
      <x:c r="J65" s="11" t="n">
        <x:f>E65/D65</x:f>
        <x:v>0.8756345177664975</x:v>
      </x:c>
      <x:c r="K65" s="11" t="n">
        <x:f>F65/D65</x:f>
        <x:v>0.12436548223350254</x:v>
      </x:c>
      <x:c r="L65" s="13" t="n">
        <x:f>I65/D65</x:f>
        <x:v>9.356598984771574</x:v>
      </x:c>
      <x:c r="M65" s="6" t="str">
        <x:v>Included</x:v>
      </x:c>
    </x:row>
    <x:row r="66" ht="23" customHeight="1">
      <x:c r="B66" s="12" t="str">
        <x:v>7067</x:v>
      </x:c>
      <x:c r="C66" s="6" t="str">
        <x:v>Yonge St / Lake Shore Blvd E</x:v>
      </x:c>
      <x:c r="D66" s="6" t="n">
        <x:v>791</x:v>
      </x:c>
      <x:c r="E66" s="6" t="n">
        <x:v>787</x:v>
      </x:c>
      <x:c r="F66" s="6" t="n">
        <x:v>4</x:v>
      </x:c>
      <x:c r="G66" s="6" t="n">
        <x:v>11</x:v>
      </x:c>
      <x:c r="H66" s="6" t="n">
        <x:v>115</x:v>
      </x:c>
      <x:c r="I66" s="6" t="n">
        <x:v>10841</x:v>
      </x:c>
      <x:c r="J66" s="11" t="n">
        <x:f>E66/D66</x:f>
        <x:v>0.9949431099873578</x:v>
      </x:c>
      <x:c r="K66" s="11" t="n">
        <x:f>F66/D66</x:f>
        <x:v>0.0050568900126422255</x:v>
      </x:c>
      <x:c r="L66" s="13" t="n">
        <x:f>I66/D66</x:f>
        <x:v>13.705436156763591</x:v>
      </x:c>
      <x:c r="M66" s="6" t="str">
        <x:v>Included</x:v>
      </x:c>
    </x:row>
    <x:row r="67" ht="23" customHeight="1">
      <x:c r="B67" s="12" t="str">
        <x:v>7069</x:v>
      </x:c>
      <x:c r="C67" s="6" t="str">
        <x:v>Queen St W / Spadina Ave</x:v>
      </x:c>
      <x:c r="D67" s="6" t="n">
        <x:v>797</x:v>
      </x:c>
      <x:c r="E67" s="6" t="n">
        <x:v>636</x:v>
      </x:c>
      <x:c r="F67" s="6" t="n">
        <x:v>161</x:v>
      </x:c>
      <x:c r="G67" s="6" t="n">
        <x:v>11</x:v>
      </x:c>
      <x:c r="H67" s="6" t="n">
        <x:v>115</x:v>
      </x:c>
      <x:c r="I67" s="6" t="n">
        <x:v>2875</x:v>
      </x:c>
      <x:c r="J67" s="11" t="n">
        <x:f>E67/D67</x:f>
        <x:v>0.7979924717691342</x:v>
      </x:c>
      <x:c r="K67" s="11" t="n">
        <x:f>F67/D67</x:f>
        <x:v>0.20200752823086573</x:v>
      </x:c>
      <x:c r="L67" s="13" t="n">
        <x:f>I67/D67</x:f>
        <x:v>3.607277289836888</x:v>
      </x:c>
      <x:c r="M67" s="6" t="str">
        <x:v>Included</x:v>
      </x:c>
    </x:row>
    <x:row r="68" ht="23" customHeight="1">
      <x:c r="B68" s="12" t="str">
        <x:v>7070</x:v>
      </x:c>
      <x:c r="C68" s="6" t="str">
        <x:v>25 York St – Union Station South</x:v>
      </x:c>
      <x:c r="D68" s="6" t="n">
        <x:v>788</x:v>
      </x:c>
      <x:c r="E68" s="6" t="n">
        <x:v>749</x:v>
      </x:c>
      <x:c r="F68" s="6" t="n">
        <x:v>39</x:v>
      </x:c>
      <x:c r="G68" s="6" t="n">
        <x:v>11</x:v>
      </x:c>
      <x:c r="H68" s="6" t="n">
        <x:v>114</x:v>
      </x:c>
      <x:c r="I68" s="6" t="n">
        <x:v>4110</x:v>
      </x:c>
      <x:c r="J68" s="11" t="n">
        <x:f>E68/D68</x:f>
        <x:v>0.950507614213198</x:v>
      </x:c>
      <x:c r="K68" s="11" t="n">
        <x:f>F68/D68</x:f>
        <x:v>0.04949238578680203</x:v>
      </x:c>
      <x:c r="L68" s="13" t="n">
        <x:f>I68/D68</x:f>
        <x:v>5.215736040609137</x:v>
      </x:c>
      <x:c r="M68" s="6" t="str">
        <x:v>Included</x:v>
      </x:c>
    </x:row>
    <x:row r="69" ht="23" customHeight="1">
      <x:c r="B69" s="12" t="str">
        <x:v>7071</x:v>
      </x:c>
      <x:c r="C69" s="6" t="str">
        <x:v>161 Bleecker St (South of Wellesley)</x:v>
      </x:c>
      <x:c r="D69" s="6" t="n">
        <x:v>788</x:v>
      </x:c>
      <x:c r="E69" s="6" t="n">
        <x:v>788</x:v>
      </x:c>
      <x:c r="F69" s="6" t="n">
        <x:v>0</x:v>
      </x:c>
      <x:c r="G69" s="6" t="n">
        <x:v>11</x:v>
      </x:c>
      <x:c r="H69" s="6" t="n">
        <x:v>114</x:v>
      </x:c>
      <x:c r="I69" s="6" t="n">
        <x:v>14461</x:v>
      </x:c>
      <x:c r="J69" s="11" t="n">
        <x:f>E69/D69</x:f>
        <x:v>1</x:v>
      </x:c>
      <x:c r="K69" s="11" t="n">
        <x:f>F69/D69</x:f>
        <x:v>0</x:v>
      </x:c>
      <x:c r="L69" s="13" t="n">
        <x:f>I69/D69</x:f>
        <x:v>18.351522842639593</x:v>
      </x:c>
      <x:c r="M69" s="6" t="str">
        <x:v>Included</x:v>
      </x:c>
    </x:row>
    <x:row r="70" ht="23" customHeight="1">
      <x:c r="B70" s="12" t="str">
        <x:v>7073</x:v>
      </x:c>
      <x:c r="C70" s="6" t="str">
        <x:v>Spadina Ave / Fort York Blvd</x:v>
      </x:c>
      <x:c r="D70" s="6" t="n">
        <x:v>788</x:v>
      </x:c>
      <x:c r="E70" s="6" t="n">
        <x:v>730</x:v>
      </x:c>
      <x:c r="F70" s="6" t="n">
        <x:v>58</x:v>
      </x:c>
      <x:c r="G70" s="6" t="n">
        <x:v>11</x:v>
      </x:c>
      <x:c r="H70" s="6" t="n">
        <x:v>115</x:v>
      </x:c>
      <x:c r="I70" s="6" t="n">
        <x:v>8712</x:v>
      </x:c>
      <x:c r="J70" s="11" t="n">
        <x:f>E70/D70</x:f>
        <x:v>0.9263959390862944</x:v>
      </x:c>
      <x:c r="K70" s="11" t="n">
        <x:f>F70/D70</x:f>
        <x:v>0.07360406091370558</x:v>
      </x:c>
      <x:c r="L70" s="13" t="n">
        <x:f>I70/D70</x:f>
        <x:v>11.055837563451776</x:v>
      </x:c>
      <x:c r="M70" s="6" t="str">
        <x:v>Included</x:v>
      </x:c>
    </x:row>
    <x:row r="71" ht="23" customHeight="1">
      <x:c r="B71" s="12" t="str">
        <x:v>7074</x:v>
      </x:c>
      <x:c r="C71" s="6" t="str">
        <x:v>King St E / Church St</x:v>
      </x:c>
      <x:c r="D71" s="6" t="n">
        <x:v>786</x:v>
      </x:c>
      <x:c r="E71" s="6" t="n">
        <x:v>743</x:v>
      </x:c>
      <x:c r="F71" s="6" t="n">
        <x:v>43</x:v>
      </x:c>
      <x:c r="G71" s="6" t="n">
        <x:v>11</x:v>
      </x:c>
      <x:c r="H71" s="6" t="n">
        <x:v>114</x:v>
      </x:c>
      <x:c r="I71" s="6" t="n">
        <x:v>14647</x:v>
      </x:c>
      <x:c r="J71" s="11" t="n">
        <x:f>E71/D71</x:f>
        <x:v>0.94529262086514</x:v>
      </x:c>
      <x:c r="K71" s="11" t="n">
        <x:f>F71/D71</x:f>
        <x:v>0.054707379134860054</x:v>
      </x:c>
      <x:c r="L71" s="13" t="n">
        <x:f>I71/D71</x:f>
        <x:v>18.634860050890584</x:v>
      </x:c>
      <x:c r="M71" s="6" t="str">
        <x:v>Included</x:v>
      </x:c>
    </x:row>
    <x:row r="72" ht="23" customHeight="1">
      <x:c r="B72" s="12" t="str">
        <x:v>7075</x:v>
      </x:c>
      <x:c r="C72" s="6" t="str">
        <x:v>Queens Quay W / Dan Leckie Way</x:v>
      </x:c>
      <x:c r="D72" s="6" t="n">
        <x:v>790</x:v>
      </x:c>
      <x:c r="E72" s="6" t="n">
        <x:v>622</x:v>
      </x:c>
      <x:c r="F72" s="6" t="n">
        <x:v>168</x:v>
      </x:c>
      <x:c r="G72" s="6" t="n">
        <x:v>11</x:v>
      </x:c>
      <x:c r="H72" s="6" t="n">
        <x:v>114</x:v>
      </x:c>
      <x:c r="I72" s="6" t="n">
        <x:v>3536</x:v>
      </x:c>
      <x:c r="J72" s="11" t="n">
        <x:f>E72/D72</x:f>
        <x:v>0.7873417721518987</x:v>
      </x:c>
      <x:c r="K72" s="11" t="n">
        <x:f>F72/D72</x:f>
        <x:v>0.21265822784810126</x:v>
      </x:c>
      <x:c r="L72" s="13" t="n">
        <x:f>I72/D72</x:f>
        <x:v>4.4759493670886075</x:v>
      </x:c>
      <x:c r="M72" s="6" t="str">
        <x:v>Included</x:v>
      </x:c>
    </x:row>
    <x:row r="73" ht="23" customHeight="1">
      <x:c r="B73" s="12" t="str">
        <x:v>7076</x:v>
      </x:c>
      <x:c r="C73" s="6" t="str">
        <x:v>York St / Queens Quay W</x:v>
      </x:c>
      <x:c r="D73" s="6" t="n">
        <x:v>782</x:v>
      </x:c>
      <x:c r="E73" s="6" t="n">
        <x:v>772</x:v>
      </x:c>
      <x:c r="F73" s="6" t="n">
        <x:v>10</x:v>
      </x:c>
      <x:c r="G73" s="6" t="n">
        <x:v>11</x:v>
      </x:c>
      <x:c r="H73" s="6" t="n">
        <x:v>113</x:v>
      </x:c>
      <x:c r="I73" s="6" t="n">
        <x:v>19993</x:v>
      </x:c>
      <x:c r="J73" s="11" t="n">
        <x:f>E73/D73</x:f>
        <x:v>0.9872122762148338</x:v>
      </x:c>
      <x:c r="K73" s="11" t="n">
        <x:f>F73/D73</x:f>
        <x:v>0.01278772378516624</x:v>
      </x:c>
      <x:c r="L73" s="13" t="n">
        <x:f>I73/D73</x:f>
        <x:v>25.566496163682864</x:v>
      </x:c>
      <x:c r="M73" s="6" t="str">
        <x:v>Included</x:v>
      </x:c>
    </x:row>
    <x:row r="74" ht="23" customHeight="1">
      <x:c r="B74" s="12" t="str">
        <x:v>7077</x:v>
      </x:c>
      <x:c r="C74" s="6" t="str">
        <x:v>College Park South</x:v>
      </x:c>
      <x:c r="D74" s="6" t="n">
        <x:v>788</x:v>
      </x:c>
      <x:c r="E74" s="6" t="n">
        <x:v>788</x:v>
      </x:c>
      <x:c r="F74" s="6" t="n">
        <x:v>0</x:v>
      </x:c>
      <x:c r="G74" s="6" t="n">
        <x:v>11</x:v>
      </x:c>
      <x:c r="H74" s="6" t="n">
        <x:v>114</x:v>
      </x:c>
      <x:c r="I74" s="6" t="n">
        <x:v>13385</x:v>
      </x:c>
      <x:c r="J74" s="11" t="n">
        <x:f>E74/D74</x:f>
        <x:v>1</x:v>
      </x:c>
      <x:c r="K74" s="11" t="n">
        <x:f>F74/D74</x:f>
        <x:v>0</x:v>
      </x:c>
      <x:c r="L74" s="13" t="n">
        <x:f>I74/D74</x:f>
        <x:v>16.986040609137056</x:v>
      </x:c>
      <x:c r="M74" s="6" t="str">
        <x:v>Included</x:v>
      </x:c>
    </x:row>
    <x:row r="75" ht="23" customHeight="1">
      <x:c r="B75" s="12" t="str">
        <x:v>7078</x:v>
      </x:c>
      <x:c r="C75" s="6" t="str">
        <x:v>College St / Major St</x:v>
      </x:c>
      <x:c r="D75" s="6" t="n">
        <x:v>796</x:v>
      </x:c>
      <x:c r="E75" s="6" t="n">
        <x:v>788</x:v>
      </x:c>
      <x:c r="F75" s="6" t="n">
        <x:v>8</x:v>
      </x:c>
      <x:c r="G75" s="6" t="n">
        <x:v>11</x:v>
      </x:c>
      <x:c r="H75" s="6" t="n">
        <x:v>115</x:v>
      </x:c>
      <x:c r="I75" s="6" t="n">
        <x:v>7666</x:v>
      </x:c>
      <x:c r="J75" s="11" t="n">
        <x:f>E75/D75</x:f>
        <x:v>0.9899497487437185</x:v>
      </x:c>
      <x:c r="K75" s="11" t="n">
        <x:f>F75/D75</x:f>
        <x:v>0.010050251256281407</x:v>
      </x:c>
      <x:c r="L75" s="13" t="n">
        <x:f>I75/D75</x:f>
        <x:v>9.630653266331658</x:v>
      </x:c>
      <x:c r="M75" s="6" t="str">
        <x:v>Included</x:v>
      </x:c>
    </x:row>
    <x:row r="76" ht="23" customHeight="1">
      <x:c r="B76" s="12" t="str">
        <x:v>7079</x:v>
      </x:c>
      <x:c r="C76" s="6" t="str">
        <x:v>McGill St / Church St</x:v>
      </x:c>
      <x:c r="D76" s="6" t="n">
        <x:v>777</x:v>
      </x:c>
      <x:c r="E76" s="6" t="n">
        <x:v>776</x:v>
      </x:c>
      <x:c r="F76" s="6" t="n">
        <x:v>1</x:v>
      </x:c>
      <x:c r="G76" s="6" t="n">
        <x:v>11</x:v>
      </x:c>
      <x:c r="H76" s="6" t="n">
        <x:v>113</x:v>
      </x:c>
      <x:c r="I76" s="6" t="n">
        <x:v>10222</x:v>
      </x:c>
      <x:c r="J76" s="11" t="n">
        <x:f>E76/D76</x:f>
        <x:v>0.9987129987129987</x:v>
      </x:c>
      <x:c r="K76" s="11" t="n">
        <x:f>F76/D76</x:f>
        <x:v>0.001287001287001287</x:v>
      </x:c>
      <x:c r="L76" s="13" t="n">
        <x:f>I76/D76</x:f>
        <x:v>13.155727155727156</x:v>
      </x:c>
      <x:c r="M76" s="6" t="str">
        <x:v>Included</x:v>
      </x:c>
    </x:row>
    <x:row r="77" ht="23" customHeight="1">
      <x:c r="B77" s="12" t="str">
        <x:v>7084</x:v>
      </x:c>
      <x:c r="C77" s="6" t="str">
        <x:v>High Park - Grenadier Cafe</x:v>
      </x:c>
      <x:c r="D77" s="6" t="n">
        <x:v>779</x:v>
      </x:c>
      <x:c r="E77" s="6" t="n">
        <x:v>779</x:v>
      </x:c>
      <x:c r="F77" s="6" t="n">
        <x:v>0</x:v>
      </x:c>
      <x:c r="G77" s="6" t="n">
        <x:v>11</x:v>
      </x:c>
      <x:c r="H77" s="6" t="n">
        <x:v>114</x:v>
      </x:c>
      <x:c r="I77" s="6" t="n">
        <x:v>4926</x:v>
      </x:c>
      <x:c r="J77" s="11" t="n">
        <x:f>E77/D77</x:f>
        <x:v>1</x:v>
      </x:c>
      <x:c r="K77" s="11" t="n">
        <x:f>F77/D77</x:f>
        <x:v>0</x:v>
      </x:c>
      <x:c r="L77" s="13" t="n">
        <x:f>I77/D77</x:f>
        <x:v>6.323491655969192</x:v>
      </x:c>
      <x:c r="M77" s="6" t="str">
        <x:v>Included</x:v>
      </x:c>
    </x:row>
    <x:row r="78" ht="23" customHeight="1">
      <x:c r="B78" s="12" t="str">
        <x:v>7085</x:v>
      </x:c>
      <x:c r="C78" s="6" t="str">
        <x:v>Danforth Ave / Westlake Ave</x:v>
      </x:c>
      <x:c r="D78" s="6" t="n">
        <x:v>788</x:v>
      </x:c>
      <x:c r="E78" s="6" t="n">
        <x:v>788</x:v>
      </x:c>
      <x:c r="F78" s="6" t="n">
        <x:v>0</x:v>
      </x:c>
      <x:c r="G78" s="6" t="n">
        <x:v>11</x:v>
      </x:c>
      <x:c r="H78" s="6" t="n">
        <x:v>115</x:v>
      </x:c>
      <x:c r="I78" s="6" t="n">
        <x:v>8863</x:v>
      </x:c>
      <x:c r="J78" s="11" t="n">
        <x:f>E78/D78</x:f>
        <x:v>1</x:v>
      </x:c>
      <x:c r="K78" s="11" t="n">
        <x:f>F78/D78</x:f>
        <x:v>0</x:v>
      </x:c>
      <x:c r="L78" s="13" t="n">
        <x:f>I78/D78</x:f>
        <x:v>11.24746192893401</x:v>
      </x:c>
      <x:c r="M78" s="6" t="str">
        <x:v>Included</x:v>
      </x:c>
    </x:row>
    <x:row r="79" ht="23" customHeight="1">
      <x:c r="B79" s="12" t="str">
        <x:v>7086</x:v>
      </x:c>
      <x:c r="C79" s="6" t="str">
        <x:v>High Park - West Rd</x:v>
      </x:c>
      <x:c r="D79" s="6" t="n">
        <x:v>793</x:v>
      </x:c>
      <x:c r="E79" s="6" t="n">
        <x:v>793</x:v>
      </x:c>
      <x:c r="F79" s="6" t="n">
        <x:v>0</x:v>
      </x:c>
      <x:c r="G79" s="6" t="n">
        <x:v>11</x:v>
      </x:c>
      <x:c r="H79" s="6" t="n">
        <x:v>115</x:v>
      </x:c>
      <x:c r="I79" s="6" t="n">
        <x:v>14261</x:v>
      </x:c>
      <x:c r="J79" s="11" t="n">
        <x:f>E79/D79</x:f>
        <x:v>1</x:v>
      </x:c>
      <x:c r="K79" s="11" t="n">
        <x:f>F79/D79</x:f>
        <x:v>0</x:v>
      </x:c>
      <x:c r="L79" s="13" t="n">
        <x:f>I79/D79</x:f>
        <x:v>17.983606557377048</x:v>
      </x:c>
      <x:c r="M79" s="6" t="str">
        <x:v>Included</x:v>
      </x:c>
    </x:row>
    <x:row r="80" ht="23" customHeight="1">
      <x:c r="B80" s="12" t="str">
        <x:v>7087</x:v>
      </x:c>
      <x:c r="C80" s="6" t="str">
        <x:v>Danforth Ave / Aldridge Ave</x:v>
      </x:c>
      <x:c r="D80" s="6" t="n">
        <x:v>788</x:v>
      </x:c>
      <x:c r="E80" s="6" t="n">
        <x:v>788</x:v>
      </x:c>
      <x:c r="F80" s="6" t="n">
        <x:v>0</x:v>
      </x:c>
      <x:c r="G80" s="6" t="n">
        <x:v>11</x:v>
      </x:c>
      <x:c r="H80" s="6" t="n">
        <x:v>114</x:v>
      </x:c>
      <x:c r="I80" s="6" t="n">
        <x:v>7068</x:v>
      </x:c>
      <x:c r="J80" s="11" t="n">
        <x:f>E80/D80</x:f>
        <x:v>1</x:v>
      </x:c>
      <x:c r="K80" s="11" t="n">
        <x:f>F80/D80</x:f>
        <x:v>0</x:v>
      </x:c>
      <x:c r="L80" s="13" t="n">
        <x:f>I80/D80</x:f>
        <x:v>8.969543147208121</x:v>
      </x:c>
      <x:c r="M80" s="6" t="str">
        <x:v>Included</x:v>
      </x:c>
    </x:row>
    <x:row r="81" ht="23" customHeight="1">
      <x:c r="B81" s="12" t="str">
        <x:v>7088</x:v>
      </x:c>
      <x:c r="C81" s="6" t="str">
        <x:v>Danforth Ave / Coxwell Ave</x:v>
      </x:c>
      <x:c r="D81" s="6" t="n">
        <x:v>783</x:v>
      </x:c>
      <x:c r="E81" s="6" t="n">
        <x:v>783</x:v>
      </x:c>
      <x:c r="F81" s="6" t="n">
        <x:v>0</x:v>
      </x:c>
      <x:c r="G81" s="6" t="n">
        <x:v>11</x:v>
      </x:c>
      <x:c r="H81" s="6" t="n">
        <x:v>116</x:v>
      </x:c>
      <x:c r="I81" s="6" t="n">
        <x:v>8018</x:v>
      </x:c>
      <x:c r="J81" s="11" t="n">
        <x:f>E81/D81</x:f>
        <x:v>1</x:v>
      </x:c>
      <x:c r="K81" s="11" t="n">
        <x:f>F81/D81</x:f>
        <x:v>0</x:v>
      </x:c>
      <x:c r="L81" s="13" t="n">
        <x:f>I81/D81</x:f>
        <x:v>10.240102171136654</x:v>
      </x:c>
      <x:c r="M81" s="6" t="str">
        <x:v>Included</x:v>
      </x:c>
    </x:row>
    <x:row r="82" ht="23" customHeight="1">
      <x:c r="B82" s="12" t="str">
        <x:v>7089</x:v>
      </x:c>
      <x:c r="C82" s="6" t="str">
        <x:v>Church St  / Wood St</x:v>
      </x:c>
      <x:c r="D82" s="6" t="n">
        <x:v>788</x:v>
      </x:c>
      <x:c r="E82" s="6" t="n">
        <x:v>788</x:v>
      </x:c>
      <x:c r="F82" s="6" t="n">
        <x:v>0</x:v>
      </x:c>
      <x:c r="G82" s="6" t="n">
        <x:v>11</x:v>
      </x:c>
      <x:c r="H82" s="6" t="n">
        <x:v>114</x:v>
      </x:c>
      <x:c r="I82" s="6" t="n">
        <x:v>15494</x:v>
      </x:c>
      <x:c r="J82" s="11" t="n">
        <x:f>E82/D82</x:f>
        <x:v>1</x:v>
      </x:c>
      <x:c r="K82" s="11" t="n">
        <x:f>F82/D82</x:f>
        <x:v>0</x:v>
      </x:c>
      <x:c r="L82" s="13" t="n">
        <x:f>I82/D82</x:f>
        <x:v>19.66243654822335</x:v>
      </x:c>
      <x:c r="M82" s="6" t="str">
        <x:v>Included</x:v>
      </x:c>
    </x:row>
    <x:row r="83" ht="23" customHeight="1">
      <x:c r="B83" s="12" t="str">
        <x:v>7090</x:v>
      </x:c>
      <x:c r="C83" s="6" t="str">
        <x:v>Danforth Ave / Lamb Ave</x:v>
      </x:c>
      <x:c r="D83" s="6" t="n">
        <x:v>786</x:v>
      </x:c>
      <x:c r="E83" s="6" t="n">
        <x:v>786</x:v>
      </x:c>
      <x:c r="F83" s="6" t="n">
        <x:v>0</x:v>
      </x:c>
      <x:c r="G83" s="6" t="n">
        <x:v>11</x:v>
      </x:c>
      <x:c r="H83" s="6" t="n">
        <x:v>115</x:v>
      </x:c>
      <x:c r="I83" s="6" t="n">
        <x:v>12855</x:v>
      </x:c>
      <x:c r="J83" s="11" t="n">
        <x:f>E83/D83</x:f>
        <x:v>1</x:v>
      </x:c>
      <x:c r="K83" s="11" t="n">
        <x:f>F83/D83</x:f>
        <x:v>0</x:v>
      </x:c>
      <x:c r="L83" s="13" t="n">
        <x:f>I83/D83</x:f>
        <x:v>16.35496183206107</x:v>
      </x:c>
      <x:c r="M83" s="6" t="str">
        <x:v>Included</x:v>
      </x:c>
    </x:row>
    <x:row r="84" ht="23" customHeight="1">
      <x:c r="B84" s="12" t="str">
        <x:v>7091</x:v>
      </x:c>
      <x:c r="C84" s="6" t="str">
        <x:v>Donlands Subway Station</x:v>
      </x:c>
      <x:c r="D84" s="6" t="n">
        <x:v>787</x:v>
      </x:c>
      <x:c r="E84" s="6" t="n">
        <x:v>753</x:v>
      </x:c>
      <x:c r="F84" s="6" t="n">
        <x:v>34</x:v>
      </x:c>
      <x:c r="G84" s="6" t="n">
        <x:v>11</x:v>
      </x:c>
      <x:c r="H84" s="6" t="n">
        <x:v>114</x:v>
      </x:c>
      <x:c r="I84" s="6" t="n">
        <x:v>6625</x:v>
      </x:c>
      <x:c r="J84" s="11" t="n">
        <x:f>E84/D84</x:f>
        <x:v>0.9567979669631512</x:v>
      </x:c>
      <x:c r="K84" s="11" t="n">
        <x:f>F84/D84</x:f>
        <x:v>0.043202033036848796</x:v>
      </x:c>
      <x:c r="L84" s="13" t="n">
        <x:f>I84/D84</x:f>
        <x:v>8.418043202033036</x:v>
      </x:c>
      <x:c r="M84" s="6" t="str">
        <x:v>Included</x:v>
      </x:c>
    </x:row>
    <x:row r="85" ht="23" customHeight="1">
      <x:c r="B85" s="12" t="str">
        <x:v>7093</x:v>
      </x:c>
      <x:c r="C85" s="6" t="str">
        <x:v>Danforth Ave / Gough Ave</x:v>
      </x:c>
      <x:c r="D85" s="6" t="n">
        <x:v>790</x:v>
      </x:c>
      <x:c r="E85" s="6" t="n">
        <x:v>790</x:v>
      </x:c>
      <x:c r="F85" s="6" t="n">
        <x:v>0</x:v>
      </x:c>
      <x:c r="G85" s="6" t="n">
        <x:v>11</x:v>
      </x:c>
      <x:c r="H85" s="6" t="n">
        <x:v>114</x:v>
      </x:c>
      <x:c r="I85" s="6" t="n">
        <x:v>15449</x:v>
      </x:c>
      <x:c r="J85" s="11" t="n">
        <x:f>E85/D85</x:f>
        <x:v>1</x:v>
      </x:c>
      <x:c r="K85" s="11" t="n">
        <x:f>F85/D85</x:f>
        <x:v>0</x:v>
      </x:c>
      <x:c r="L85" s="13" t="n">
        <x:f>I85/D85</x:f>
        <x:v>19.555696202531646</x:v>
      </x:c>
      <x:c r="M85" s="6" t="str">
        <x:v>Included</x:v>
      </x:c>
    </x:row>
    <x:row r="86" ht="23" customHeight="1">
      <x:c r="B86" s="12" t="str">
        <x:v>7094</x:v>
      </x:c>
      <x:c r="C86" s="6" t="str">
        <x:v>14 Arundel Ave</x:v>
      </x:c>
      <x:c r="D86" s="6" t="n">
        <x:v>792</x:v>
      </x:c>
      <x:c r="E86" s="6" t="n">
        <x:v>736</x:v>
      </x:c>
      <x:c r="F86" s="6" t="n">
        <x:v>56</x:v>
      </x:c>
      <x:c r="G86" s="6" t="n">
        <x:v>11</x:v>
      </x:c>
      <x:c r="H86" s="6" t="n">
        <x:v>114</x:v>
      </x:c>
      <x:c r="I86" s="6" t="n">
        <x:v>10309</x:v>
      </x:c>
      <x:c r="J86" s="11" t="n">
        <x:f>E86/D86</x:f>
        <x:v>0.9292929292929293</x:v>
      </x:c>
      <x:c r="K86" s="11" t="n">
        <x:f>F86/D86</x:f>
        <x:v>0.0707070707070707</x:v>
      </x:c>
      <x:c r="L86" s="13" t="n">
        <x:f>I86/D86</x:f>
        <x:v>13.016414141414142</x:v>
      </x:c>
      <x:c r="M86" s="6" t="str">
        <x:v>Included</x:v>
      </x:c>
    </x:row>
    <x:row r="87" ht="23" customHeight="1">
      <x:c r="B87" s="12" t="str">
        <x:v>7095</x:v>
      </x:c>
      <x:c r="C87" s="6" t="str">
        <x:v>Danforth Ave / Ellerbeck St</x:v>
      </x:c>
      <x:c r="D87" s="6" t="n">
        <x:v>796</x:v>
      </x:c>
      <x:c r="E87" s="6" t="n">
        <x:v>795</x:v>
      </x:c>
      <x:c r="F87" s="6" t="n">
        <x:v>1</x:v>
      </x:c>
      <x:c r="G87" s="6" t="n">
        <x:v>11</x:v>
      </x:c>
      <x:c r="H87" s="6" t="n">
        <x:v>115</x:v>
      </x:c>
      <x:c r="I87" s="6" t="n">
        <x:v>8785</x:v>
      </x:c>
      <x:c r="J87" s="11" t="n">
        <x:f>E87/D87</x:f>
        <x:v>0.9987437185929648</x:v>
      </x:c>
      <x:c r="K87" s="11" t="n">
        <x:f>F87/D87</x:f>
        <x:v>0.001256281407035176</x:v>
      </x:c>
      <x:c r="L87" s="13" t="n">
        <x:f>I87/D87</x:f>
        <x:v>11.03643216080402</x:v>
      </x:c>
      <x:c r="M87" s="6" t="str">
        <x:v>Included</x:v>
      </x:c>
    </x:row>
    <x:row r="88" ht="23" customHeight="1">
      <x:c r="B88" s="12" t="str">
        <x:v>7096</x:v>
      </x:c>
      <x:c r="C88" s="6" t="str">
        <x:v>Lower Don River Trail and Taylor Creek Trail</x:v>
      </x:c>
      <x:c r="D88" s="6" t="n">
        <x:v>778</x:v>
      </x:c>
      <x:c r="E88" s="6" t="n">
        <x:v>478</x:v>
      </x:c>
      <x:c r="F88" s="6" t="n">
        <x:v>300</x:v>
      </x:c>
      <x:c r="G88" s="6" t="n">
        <x:v>11</x:v>
      </x:c>
      <x:c r="H88" s="6" t="n">
        <x:v>114</x:v>
      </x:c>
      <x:c r="I88" s="6" t="n">
        <x:v>5893</x:v>
      </x:c>
      <x:c r="J88" s="11" t="n">
        <x:f>E88/D88</x:f>
        <x:v>0.6143958868894601</x:v>
      </x:c>
      <x:c r="K88" s="11" t="n">
        <x:f>F88/D88</x:f>
        <x:v>0.3856041131105398</x:v>
      </x:c>
      <x:c r="L88" s="13" t="n">
        <x:f>I88/D88</x:f>
        <x:v>7.574550128534704</x:v>
      </x:c>
      <x:c r="M88" s="6" t="str">
        <x:v>Included</x:v>
      </x:c>
    </x:row>
    <x:row r="89" ht="23" customHeight="1">
      <x:c r="B89" s="12" t="str">
        <x:v>7097</x:v>
      </x:c>
      <x:c r="C89" s="6" t="str">
        <x:v>Riverdale Park North (Broadview Ave)</x:v>
      </x:c>
      <x:c r="D89" s="6" t="n">
        <x:v>792</x:v>
      </x:c>
      <x:c r="E89" s="6" t="n">
        <x:v>792</x:v>
      </x:c>
      <x:c r="F89" s="6" t="n">
        <x:v>0</x:v>
      </x:c>
      <x:c r="G89" s="6" t="n">
        <x:v>11</x:v>
      </x:c>
      <x:c r="H89" s="6" t="n">
        <x:v>115</x:v>
      </x:c>
      <x:c r="I89" s="6" t="n">
        <x:v>16431</x:v>
      </x:c>
      <x:c r="J89" s="11" t="n">
        <x:f>E89/D89</x:f>
        <x:v>1</x:v>
      </x:c>
      <x:c r="K89" s="11" t="n">
        <x:f>F89/D89</x:f>
        <x:v>0</x:v>
      </x:c>
      <x:c r="L89" s="13" t="n">
        <x:f>I89/D89</x:f>
        <x:v>20.74621212121212</x:v>
      </x:c>
      <x:c r="M89" s="6" t="str">
        <x:v>Included</x:v>
      </x:c>
    </x:row>
    <x:row r="90" ht="23" customHeight="1">
      <x:c r="B90" s="12" t="str">
        <x:v>7098</x:v>
      </x:c>
      <x:c r="C90" s="6" t="str">
        <x:v>Riverdale Park South (Broadview Ave)</x:v>
      </x:c>
      <x:c r="D90" s="6" t="n">
        <x:v>779</x:v>
      </x:c>
      <x:c r="E90" s="6" t="n">
        <x:v>708</x:v>
      </x:c>
      <x:c r="F90" s="6" t="n">
        <x:v>71</x:v>
      </x:c>
      <x:c r="G90" s="6" t="n">
        <x:v>11</x:v>
      </x:c>
      <x:c r="H90" s="6" t="n">
        <x:v>114</x:v>
      </x:c>
      <x:c r="I90" s="6" t="n">
        <x:v>5111</x:v>
      </x:c>
      <x:c r="J90" s="11" t="n">
        <x:f>E90/D90</x:f>
        <x:v>0.9088575096277278</x:v>
      </x:c>
      <x:c r="K90" s="11" t="n">
        <x:f>F90/D90</x:f>
        <x:v>0.09114249037227215</x:v>
      </x:c>
      <x:c r="L90" s="13" t="n">
        <x:f>I90/D90</x:f>
        <x:v>6.560975609756097</x:v>
      </x:c>
      <x:c r="M90" s="6" t="str">
        <x:v>Included</x:v>
      </x:c>
    </x:row>
    <x:row r="91" ht="23" customHeight="1">
      <x:c r="B91" s="12" t="str">
        <x:v>7099</x:v>
      </x:c>
      <x:c r="C91" s="6" t="str">
        <x:v>Mill St / Cherry St</x:v>
      </x:c>
      <x:c r="D91" s="6" t="n">
        <x:v>781</x:v>
      </x:c>
      <x:c r="E91" s="6" t="n">
        <x:v>607</x:v>
      </x:c>
      <x:c r="F91" s="6" t="n">
        <x:v>174</x:v>
      </x:c>
      <x:c r="G91" s="6" t="n">
        <x:v>11</x:v>
      </x:c>
      <x:c r="H91" s="6" t="n">
        <x:v>114</x:v>
      </x:c>
      <x:c r="I91" s="6" t="n">
        <x:v>10761</x:v>
      </x:c>
      <x:c r="J91" s="11" t="n">
        <x:f>E91/D91</x:f>
        <x:v>0.7772087067861716</x:v>
      </x:c>
      <x:c r="K91" s="11" t="n">
        <x:f>F91/D91</x:f>
        <x:v>0.22279129321382843</x:v>
      </x:c>
      <x:c r="L91" s="13" t="n">
        <x:f>I91/D91</x:f>
        <x:v>13.778489116517285</x:v>
      </x:c>
      <x:c r="M91" s="6" t="str">
        <x:v>Included</x:v>
      </x:c>
    </x:row>
    <x:row r="92" ht="23" customHeight="1">
      <x:c r="B92" s="12" t="str">
        <x:v>7100</x:v>
      </x:c>
      <x:c r="C92" s="6" t="str">
        <x:v>Dundas St E / Regent Park Blvd</x:v>
      </x:c>
      <x:c r="D92" s="6" t="n">
        <x:v>786</x:v>
      </x:c>
      <x:c r="E92" s="6" t="n">
        <x:v>660</x:v>
      </x:c>
      <x:c r="F92" s="6" t="n">
        <x:v>126</x:v>
      </x:c>
      <x:c r="G92" s="6" t="n">
        <x:v>11</x:v>
      </x:c>
      <x:c r="H92" s="6" t="n">
        <x:v>112</x:v>
      </x:c>
      <x:c r="I92" s="6" t="n">
        <x:v>11097</x:v>
      </x:c>
      <x:c r="J92" s="11" t="n">
        <x:f>E92/D92</x:f>
        <x:v>0.8396946564885496</x:v>
      </x:c>
      <x:c r="K92" s="11" t="n">
        <x:f>F92/D92</x:f>
        <x:v>0.16030534351145037</x:v>
      </x:c>
      <x:c r="L92" s="13" t="n">
        <x:f>I92/D92</x:f>
        <x:v>14.118320610687023</x:v>
      </x:c>
      <x:c r="M92" s="6" t="str">
        <x:v>Included</x:v>
      </x:c>
    </x:row>
    <x:row r="93" ht="23" customHeight="1">
      <x:c r="B93" s="12" t="str">
        <x:v>7101</x:v>
      </x:c>
      <x:c r="C93" s="6" t="str">
        <x:v>Lower Sherbourne St / The Esplanade</x:v>
      </x:c>
      <x:c r="D93" s="6" t="n">
        <x:v>781</x:v>
      </x:c>
      <x:c r="E93" s="6" t="n">
        <x:v>636</x:v>
      </x:c>
      <x:c r="F93" s="6" t="n">
        <x:v>145</x:v>
      </x:c>
      <x:c r="G93" s="6" t="n">
        <x:v>11</x:v>
      </x:c>
      <x:c r="H93" s="6" t="n">
        <x:v>114</x:v>
      </x:c>
      <x:c r="I93" s="6" t="n">
        <x:v>9150</x:v>
      </x:c>
      <x:c r="J93" s="11" t="n">
        <x:f>E93/D93</x:f>
        <x:v>0.8143405889884763</x:v>
      </x:c>
      <x:c r="K93" s="11" t="n">
        <x:f>F93/D93</x:f>
        <x:v>0.1856594110115237</x:v>
      </x:c>
      <x:c r="L93" s="13" t="n">
        <x:f>I93/D93</x:f>
        <x:v>11.715749039692701</x:v>
      </x:c>
      <x:c r="M93" s="6" t="str">
        <x:v>Included</x:v>
      </x:c>
    </x:row>
    <x:row r="94" ht="23" customHeight="1">
      <x:c r="B94" s="12" t="str">
        <x:v>7102</x:v>
      </x:c>
      <x:c r="C94" s="6" t="str">
        <x:v>Nelson St / Duncan St</x:v>
      </x:c>
      <x:c r="D94" s="6" t="n">
        <x:v>783</x:v>
      </x:c>
      <x:c r="E94" s="6" t="n">
        <x:v>742</x:v>
      </x:c>
      <x:c r="F94" s="6" t="n">
        <x:v>41</x:v>
      </x:c>
      <x:c r="G94" s="6" t="n">
        <x:v>11</x:v>
      </x:c>
      <x:c r="H94" s="6" t="n">
        <x:v>114</x:v>
      </x:c>
      <x:c r="I94" s="6" t="n">
        <x:v>5346</x:v>
      </x:c>
      <x:c r="J94" s="11" t="n">
        <x:f>E94/D94</x:f>
        <x:v>0.9476372924648787</x:v>
      </x:c>
      <x:c r="K94" s="11" t="n">
        <x:f>F94/D94</x:f>
        <x:v>0.05236270753512133</x:v>
      </x:c>
      <x:c r="L94" s="13" t="n">
        <x:f>I94/D94</x:f>
        <x:v>6.827586206896552</x:v>
      </x:c>
      <x:c r="M94" s="6" t="str">
        <x:v>Included</x:v>
      </x:c>
    </x:row>
    <x:row r="95" ht="23" customHeight="1">
      <x:c r="B95" s="12" t="str">
        <x:v>7103</x:v>
      </x:c>
      <x:c r="C95" s="6" t="str">
        <x:v>Jimmie Simpson Park (Queen St E)</x:v>
      </x:c>
      <x:c r="D95" s="6" t="n">
        <x:v>789</x:v>
      </x:c>
      <x:c r="E95" s="6" t="n">
        <x:v>516</x:v>
      </x:c>
      <x:c r="F95" s="6" t="n">
        <x:v>273</x:v>
      </x:c>
      <x:c r="G95" s="6" t="n">
        <x:v>11</x:v>
      </x:c>
      <x:c r="H95" s="6" t="n">
        <x:v>114</x:v>
      </x:c>
      <x:c r="I95" s="6" t="n">
        <x:v>4846</x:v>
      </x:c>
      <x:c r="J95" s="11" t="n">
        <x:f>E95/D95</x:f>
        <x:v>0.6539923954372624</x:v>
      </x:c>
      <x:c r="K95" s="11" t="n">
        <x:f>F95/D95</x:f>
        <x:v>0.34600760456273766</x:v>
      </x:c>
      <x:c r="L95" s="13" t="n">
        <x:f>I95/D95</x:f>
        <x:v>6.141951837769328</x:v>
      </x:c>
      <x:c r="M95" s="6" t="str">
        <x:v>Included</x:v>
      </x:c>
    </x:row>
    <x:row r="96" ht="23" customHeight="1">
      <x:c r="B96" s="12" t="str">
        <x:v>7104</x:v>
      </x:c>
      <x:c r="C96" s="6" t="str">
        <x:v>King St E / River St</x:v>
      </x:c>
      <x:c r="D96" s="6" t="n">
        <x:v>778</x:v>
      </x:c>
      <x:c r="E96" s="6" t="n">
        <x:v>639</x:v>
      </x:c>
      <x:c r="F96" s="6" t="n">
        <x:v>139</x:v>
      </x:c>
      <x:c r="G96" s="6" t="n">
        <x:v>11</x:v>
      </x:c>
      <x:c r="H96" s="6" t="n">
        <x:v>114</x:v>
      </x:c>
      <x:c r="I96" s="6" t="n">
        <x:v>4812</x:v>
      </x:c>
      <x:c r="J96" s="11" t="n">
        <x:f>E96/D96</x:f>
        <x:v>0.8213367609254498</x:v>
      </x:c>
      <x:c r="K96" s="11" t="n">
        <x:f>F96/D96</x:f>
        <x:v>0.17866323907455012</x:v>
      </x:c>
      <x:c r="L96" s="13" t="n">
        <x:f>I96/D96</x:f>
        <x:v>6.185089974293059</x:v>
      </x:c>
      <x:c r="M96" s="6" t="str">
        <x:v>Included</x:v>
      </x:c>
    </x:row>
    <x:row r="97" ht="23" customHeight="1">
      <x:c r="B97" s="12" t="str">
        <x:v>7105</x:v>
      </x:c>
      <x:c r="C97" s="6" t="str">
        <x:v>Queen St E / Sackville St</x:v>
      </x:c>
      <x:c r="D97" s="6" t="n">
        <x:v>785</x:v>
      </x:c>
      <x:c r="E97" s="6" t="n">
        <x:v>569</x:v>
      </x:c>
      <x:c r="F97" s="6" t="n">
        <x:v>216</x:v>
      </x:c>
      <x:c r="G97" s="6" t="n">
        <x:v>11</x:v>
      </x:c>
      <x:c r="H97" s="6" t="n">
        <x:v>115</x:v>
      </x:c>
      <x:c r="I97" s="6" t="n">
        <x:v>3017</x:v>
      </x:c>
      <x:c r="J97" s="11" t="n">
        <x:f>E97/D97</x:f>
        <x:v>0.7248407643312101</x:v>
      </x:c>
      <x:c r="K97" s="11" t="n">
        <x:f>F97/D97</x:f>
        <x:v>0.2751592356687898</x:v>
      </x:c>
      <x:c r="L97" s="13" t="n">
        <x:f>I97/D97</x:f>
        <x:v>3.843312101910828</x:v>
      </x:c>
      <x:c r="M97" s="6" t="str">
        <x:v>Included</x:v>
      </x:c>
    </x:row>
    <x:row r="98" ht="23" customHeight="1">
      <x:c r="B98" s="12" t="str">
        <x:v>7106</x:v>
      </x:c>
      <x:c r="C98" s="6" t="str">
        <x:v>Mill St / Tannery Rd</x:v>
      </x:c>
      <x:c r="D98" s="6" t="n">
        <x:v>789</x:v>
      </x:c>
      <x:c r="E98" s="6" t="n">
        <x:v>723</x:v>
      </x:c>
      <x:c r="F98" s="6" t="n">
        <x:v>66</x:v>
      </x:c>
      <x:c r="G98" s="6" t="n">
        <x:v>11</x:v>
      </x:c>
      <x:c r="H98" s="6" t="n">
        <x:v>114</x:v>
      </x:c>
      <x:c r="I98" s="6" t="n">
        <x:v>16807</x:v>
      </x:c>
      <x:c r="J98" s="11" t="n">
        <x:f>E98/D98</x:f>
        <x:v>0.9163498098859315</x:v>
      </x:c>
      <x:c r="K98" s="11" t="n">
        <x:f>F98/D98</x:f>
        <x:v>0.08365019011406843</x:v>
      </x:c>
      <x:c r="L98" s="13" t="n">
        <x:f>I98/D98</x:f>
        <x:v>21.301647655259824</x:v>
      </x:c>
      <x:c r="M98" s="6" t="str">
        <x:v>Included</x:v>
      </x:c>
    </x:row>
    <x:row r="99" ht="23" customHeight="1">
      <x:c r="B99" s="12" t="str">
        <x:v>7107</x:v>
      </x:c>
      <x:c r="C99" s="6" t="str">
        <x:v>Cherry St / Distillery Ln</x:v>
      </x:c>
      <x:c r="D99" s="6" t="n">
        <x:v>786</x:v>
      </x:c>
      <x:c r="E99" s="6" t="n">
        <x:v>700</x:v>
      </x:c>
      <x:c r="F99" s="6" t="n">
        <x:v>86</x:v>
      </x:c>
      <x:c r="G99" s="6" t="n">
        <x:v>11</x:v>
      </x:c>
      <x:c r="H99" s="6" t="n">
        <x:v>113</x:v>
      </x:c>
      <x:c r="I99" s="6" t="n">
        <x:v>5742</x:v>
      </x:c>
      <x:c r="J99" s="11" t="n">
        <x:f>E99/D99</x:f>
        <x:v>0.8905852417302799</x:v>
      </x:c>
      <x:c r="K99" s="11" t="n">
        <x:f>F99/D99</x:f>
        <x:v>0.10941475826972011</x:v>
      </x:c>
      <x:c r="L99" s="13" t="n">
        <x:f>I99/D99</x:f>
        <x:v>7.305343511450381</x:v>
      </x:c>
      <x:c r="M99" s="6" t="str">
        <x:v>Included</x:v>
      </x:c>
    </x:row>
    <x:row r="100" ht="23" customHeight="1">
      <x:c r="B100" s="12" t="str">
        <x:v>7109</x:v>
      </x:c>
      <x:c r="C100" s="6" t="str">
        <x:v>Seaton St / Dundas St E - SMART</x:v>
      </x:c>
      <x:c r="D100" s="6" t="n">
        <x:v>786</x:v>
      </x:c>
      <x:c r="E100" s="6" t="n">
        <x:v>786</x:v>
      </x:c>
      <x:c r="F100" s="6" t="n">
        <x:v>0</x:v>
      </x:c>
      <x:c r="G100" s="6" t="n">
        <x:v>11</x:v>
      </x:c>
      <x:c r="H100" s="6" t="n">
        <x:v>114</x:v>
      </x:c>
      <x:c r="I100" s="6" t="n">
        <x:v>17131</x:v>
      </x:c>
      <x:c r="J100" s="11" t="n">
        <x:f>E100/D100</x:f>
        <x:v>1</x:v>
      </x:c>
      <x:c r="K100" s="11" t="n">
        <x:f>F100/D100</x:f>
        <x:v>0</x:v>
      </x:c>
      <x:c r="L100" s="13" t="n">
        <x:f>I100/D100</x:f>
        <x:v>21.795165394402037</x:v>
      </x:c>
      <x:c r="M100" s="6" t="str">
        <x:v>Included</x:v>
      </x:c>
    </x:row>
    <x:row r="101" ht="23" customHeight="1">
      <x:c r="B101" s="12" t="str">
        <x:v>7110</x:v>
      </x:c>
      <x:c r="C101" s="6" t="str">
        <x:v>Queen St E / Berkeley St</x:v>
      </x:c>
      <x:c r="D101" s="6" t="n">
        <x:v>779</x:v>
      </x:c>
      <x:c r="E101" s="6" t="n">
        <x:v>714</x:v>
      </x:c>
      <x:c r="F101" s="6" t="n">
        <x:v>65</x:v>
      </x:c>
      <x:c r="G101" s="6" t="n">
        <x:v>11</x:v>
      </x:c>
      <x:c r="H101" s="6" t="n">
        <x:v>114</x:v>
      </x:c>
      <x:c r="I101" s="6" t="n">
        <x:v>5263</x:v>
      </x:c>
      <x:c r="J101" s="11" t="n">
        <x:f>E101/D101</x:f>
        <x:v>0.9165596919127086</x:v>
      </x:c>
      <x:c r="K101" s="11" t="n">
        <x:f>F101/D101</x:f>
        <x:v>0.0834403080872914</x:v>
      </x:c>
      <x:c r="L101" s="13" t="n">
        <x:f>I101/D101</x:f>
        <x:v>6.7560975609756095</x:v>
      </x:c>
      <x:c r="M101" s="6" t="str">
        <x:v>Included</x:v>
      </x:c>
    </x:row>
    <x:row r="102" ht="23" customHeight="1">
      <x:c r="B102" s="12" t="str">
        <x:v>7111</x:v>
      </x:c>
      <x:c r="C102" s="6" t="str">
        <x:v>King St W / Douro St</x:v>
      </x:c>
      <x:c r="D102" s="6" t="n">
        <x:v>780</x:v>
      </x:c>
      <x:c r="E102" s="6" t="n">
        <x:v>518</x:v>
      </x:c>
      <x:c r="F102" s="6" t="n">
        <x:v>262</x:v>
      </x:c>
      <x:c r="G102" s="6" t="n">
        <x:v>11</x:v>
      </x:c>
      <x:c r="H102" s="6" t="n">
        <x:v>114</x:v>
      </x:c>
      <x:c r="I102" s="6" t="n">
        <x:v>3344</x:v>
      </x:c>
      <x:c r="J102" s="11" t="n">
        <x:f>E102/D102</x:f>
        <x:v>0.6641025641025641</x:v>
      </x:c>
      <x:c r="K102" s="11" t="n">
        <x:f>F102/D102</x:f>
        <x:v>0.33589743589743587</x:v>
      </x:c>
      <x:c r="L102" s="13" t="n">
        <x:f>I102/D102</x:f>
        <x:v>4.287179487179487</x:v>
      </x:c>
      <x:c r="M102" s="6" t="str">
        <x:v>Included</x:v>
      </x:c>
    </x:row>
    <x:row r="103" ht="23" customHeight="1">
      <x:c r="B103" s="12" t="str">
        <x:v>7112</x:v>
      </x:c>
      <x:c r="C103" s="6" t="str">
        <x:v>Liberty St / Fraser Ave Green P</x:v>
      </x:c>
      <x:c r="D103" s="6" t="n">
        <x:v>787</x:v>
      </x:c>
      <x:c r="E103" s="6" t="n">
        <x:v>736</x:v>
      </x:c>
      <x:c r="F103" s="6" t="n">
        <x:v>51</x:v>
      </x:c>
      <x:c r="G103" s="6" t="n">
        <x:v>11</x:v>
      </x:c>
      <x:c r="H103" s="6" t="n">
        <x:v>115</x:v>
      </x:c>
      <x:c r="I103" s="6" t="n">
        <x:v>4341</x:v>
      </x:c>
      <x:c r="J103" s="11" t="n">
        <x:f>E103/D103</x:f>
        <x:v>0.9351969504447268</x:v>
      </x:c>
      <x:c r="K103" s="11" t="n">
        <x:f>F103/D103</x:f>
        <x:v>0.06480304955527319</x:v>
      </x:c>
      <x:c r="L103" s="13" t="n">
        <x:f>I103/D103</x:f>
        <x:v>5.515883100381195</x:v>
      </x:c>
      <x:c r="M103" s="6" t="str">
        <x:v>Included</x:v>
      </x:c>
    </x:row>
    <x:row r="104" ht="23" customHeight="1">
      <x:c r="B104" s="12" t="str">
        <x:v>7113</x:v>
      </x:c>
      <x:c r="C104" s="6" t="str">
        <x:v>Parliament St / Aberdeen Ave</x:v>
      </x:c>
      <x:c r="D104" s="6" t="n">
        <x:v>784</x:v>
      </x:c>
      <x:c r="E104" s="6" t="n">
        <x:v>782</x:v>
      </x:c>
      <x:c r="F104" s="6" t="n">
        <x:v>2</x:v>
      </x:c>
      <x:c r="G104" s="6" t="n">
        <x:v>11</x:v>
      </x:c>
      <x:c r="H104" s="6" t="n">
        <x:v>114</x:v>
      </x:c>
      <x:c r="I104" s="6" t="n">
        <x:v>7560</x:v>
      </x:c>
      <x:c r="J104" s="11" t="n">
        <x:f>E104/D104</x:f>
        <x:v>0.9974489795918368</x:v>
      </x:c>
      <x:c r="K104" s="11" t="n">
        <x:f>F104/D104</x:f>
        <x:v>0.002551020408163265</x:v>
      </x:c>
      <x:c r="L104" s="13" t="n">
        <x:f>I104/D104</x:f>
        <x:v>9.642857142857142</x:v>
      </x:c>
      <x:c r="M104" s="6" t="str">
        <x:v>Included</x:v>
      </x:c>
    </x:row>
    <x:row r="105" ht="23" customHeight="1">
      <x:c r="B105" s="12" t="str">
        <x:v>7114</x:v>
      </x:c>
      <x:c r="C105" s="6" t="str">
        <x:v>Carlton St / Parliament St</x:v>
      </x:c>
      <x:c r="D105" s="6" t="n">
        <x:v>791</x:v>
      </x:c>
      <x:c r="E105" s="6" t="n">
        <x:v>788</x:v>
      </x:c>
      <x:c r="F105" s="6" t="n">
        <x:v>3</x:v>
      </x:c>
      <x:c r="G105" s="6" t="n">
        <x:v>11</x:v>
      </x:c>
      <x:c r="H105" s="6" t="n">
        <x:v>115</x:v>
      </x:c>
      <x:c r="I105" s="6" t="n">
        <x:v>11914</x:v>
      </x:c>
      <x:c r="J105" s="11" t="n">
        <x:f>E105/D105</x:f>
        <x:v>0.9962073324905183</x:v>
      </x:c>
      <x:c r="K105" s="11" t="n">
        <x:f>F105/D105</x:f>
        <x:v>0.0037926675094816687</x:v>
      </x:c>
      <x:c r="L105" s="13" t="n">
        <x:f>I105/D105</x:f>
        <x:v>15.061946902654867</x:v>
      </x:c>
      <x:c r="M105" s="6" t="str">
        <x:v>Included</x:v>
      </x:c>
    </x:row>
    <x:row r="106" ht="23" customHeight="1">
      <x:c r="B106" s="12" t="str">
        <x:v>7115</x:v>
      </x:c>
      <x:c r="C106" s="6" t="str">
        <x:v>Howard St / Sherbourne St</x:v>
      </x:c>
      <x:c r="D106" s="6" t="n">
        <x:v>776</x:v>
      </x:c>
      <x:c r="E106" s="6" t="n">
        <x:v>776</x:v>
      </x:c>
      <x:c r="F106" s="6" t="n">
        <x:v>0</x:v>
      </x:c>
      <x:c r="G106" s="6" t="n">
        <x:v>11</x:v>
      </x:c>
      <x:c r="H106" s="6" t="n">
        <x:v>113</x:v>
      </x:c>
      <x:c r="I106" s="6" t="n">
        <x:v>18213</x:v>
      </x:c>
      <x:c r="J106" s="11" t="n">
        <x:f>E106/D106</x:f>
        <x:v>1</x:v>
      </x:c>
      <x:c r="K106" s="11" t="n">
        <x:f>F106/D106</x:f>
        <x:v>0</x:v>
      </x:c>
      <x:c r="L106" s="13" t="n">
        <x:f>I106/D106</x:f>
        <x:v>23.47036082474227</x:v>
      </x:c>
      <x:c r="M106" s="6" t="str">
        <x:v>Included</x:v>
      </x:c>
    </x:row>
    <x:row r="107" ht="23" customHeight="1">
      <x:c r="B107" s="12" t="str">
        <x:v>7116</x:v>
      </x:c>
      <x:c r="C107" s="6" t="str">
        <x:v>Bloor St E / Parliament St</x:v>
      </x:c>
      <x:c r="D107" s="6" t="n">
        <x:v>793</x:v>
      </x:c>
      <x:c r="E107" s="6" t="n">
        <x:v>793</x:v>
      </x:c>
      <x:c r="F107" s="6" t="n">
        <x:v>0</x:v>
      </x:c>
      <x:c r="G107" s="6" t="n">
        <x:v>11</x:v>
      </x:c>
      <x:c r="H107" s="6" t="n">
        <x:v>115</x:v>
      </x:c>
      <x:c r="I107" s="6" t="n">
        <x:v>11131</x:v>
      </x:c>
      <x:c r="J107" s="11" t="n">
        <x:f>E107/D107</x:f>
        <x:v>1</x:v>
      </x:c>
      <x:c r="K107" s="11" t="n">
        <x:f>F107/D107</x:f>
        <x:v>0</x:v>
      </x:c>
      <x:c r="L107" s="13" t="n">
        <x:f>I107/D107</x:f>
        <x:v>14.03656998738966</x:v>
      </x:c>
      <x:c r="M107" s="6" t="str">
        <x:v>Included</x:v>
      </x:c>
    </x:row>
    <x:row r="108" ht="23" customHeight="1">
      <x:c r="B108" s="12" t="str">
        <x:v>7117</x:v>
      </x:c>
      <x:c r="C108" s="6" t="str">
        <x:v>Castle Frank Subway Station</x:v>
      </x:c>
      <x:c r="D108" s="6" t="n">
        <x:v>781</x:v>
      </x:c>
      <x:c r="E108" s="6" t="n">
        <x:v>781</x:v>
      </x:c>
      <x:c r="F108" s="6" t="n">
        <x:v>0</x:v>
      </x:c>
      <x:c r="G108" s="6" t="n">
        <x:v>11</x:v>
      </x:c>
      <x:c r="H108" s="6" t="n">
        <x:v>116</x:v>
      </x:c>
      <x:c r="I108" s="6" t="n">
        <x:v>11613</x:v>
      </x:c>
      <x:c r="J108" s="11" t="n">
        <x:f>E108/D108</x:f>
        <x:v>1</x:v>
      </x:c>
      <x:c r="K108" s="11" t="n">
        <x:f>F108/D108</x:f>
        <x:v>0</x:v>
      </x:c>
      <x:c r="L108" s="13" t="n">
        <x:f>I108/D108</x:f>
        <x:v>14.869398207426377</x:v>
      </x:c>
      <x:c r="M108" s="6" t="str">
        <x:v>Included</x:v>
      </x:c>
    </x:row>
    <x:row r="109" ht="23" customHeight="1">
      <x:c r="B109" s="12" t="str">
        <x:v>7118</x:v>
      </x:c>
      <x:c r="C109" s="6" t="str">
        <x:v>King St W / Bay St (East Side)</x:v>
      </x:c>
      <x:c r="D109" s="6" t="n">
        <x:v>784</x:v>
      </x:c>
      <x:c r="E109" s="6" t="n">
        <x:v>718</x:v>
      </x:c>
      <x:c r="F109" s="6" t="n">
        <x:v>66</x:v>
      </x:c>
      <x:c r="G109" s="6" t="n">
        <x:v>11</x:v>
      </x:c>
      <x:c r="H109" s="6" t="n">
        <x:v>114</x:v>
      </x:c>
      <x:c r="I109" s="6" t="n">
        <x:v>8122</x:v>
      </x:c>
      <x:c r="J109" s="11" t="n">
        <x:f>E109/D109</x:f>
        <x:v>0.9158163265306123</x:v>
      </x:c>
      <x:c r="K109" s="11" t="n">
        <x:f>F109/D109</x:f>
        <x:v>0.08418367346938775</x:v>
      </x:c>
      <x:c r="L109" s="13" t="n">
        <x:f>I109/D109</x:f>
        <x:v>10.35969387755102</x:v>
      </x:c>
      <x:c r="M109" s="6" t="str">
        <x:v>Included</x:v>
      </x:c>
    </x:row>
    <x:row r="110" ht="23" customHeight="1">
      <x:c r="B110" s="12" t="str">
        <x:v>7119</x:v>
      </x:c>
      <x:c r="C110" s="6" t="str">
        <x:v>Sumach St / Carlton St (Riverdale Farm)</x:v>
      </x:c>
      <x:c r="D110" s="6" t="n">
        <x:v>782</x:v>
      </x:c>
      <x:c r="E110" s="6" t="n">
        <x:v>782</x:v>
      </x:c>
      <x:c r="F110" s="6" t="n">
        <x:v>0</x:v>
      </x:c>
      <x:c r="G110" s="6" t="n">
        <x:v>11</x:v>
      </x:c>
      <x:c r="H110" s="6" t="n">
        <x:v>115</x:v>
      </x:c>
      <x:c r="I110" s="6" t="n">
        <x:v>7028</x:v>
      </x:c>
      <x:c r="J110" s="11" t="n">
        <x:f>E110/D110</x:f>
        <x:v>1</x:v>
      </x:c>
      <x:c r="K110" s="11" t="n">
        <x:f>F110/D110</x:f>
        <x:v>0</x:v>
      </x:c>
      <x:c r="L110" s="13" t="n">
        <x:f>I110/D110</x:f>
        <x:v>8.987212276214834</x:v>
      </x:c>
      <x:c r="M110" s="6" t="str">
        <x:v>Included</x:v>
      </x:c>
    </x:row>
    <x:row r="111" ht="23" customHeight="1">
      <x:c r="B111" s="12" t="str">
        <x:v>7120</x:v>
      </x:c>
      <x:c r="C111" s="6" t="str">
        <x:v>Gerrard St E / River St</x:v>
      </x:c>
      <x:c r="D111" s="6" t="n">
        <x:v>786</x:v>
      </x:c>
      <x:c r="E111" s="6" t="n">
        <x:v>661</x:v>
      </x:c>
      <x:c r="F111" s="6" t="n">
        <x:v>125</x:v>
      </x:c>
      <x:c r="G111" s="6" t="n">
        <x:v>11</x:v>
      </x:c>
      <x:c r="H111" s="6" t="n">
        <x:v>115</x:v>
      </x:c>
      <x:c r="I111" s="6" t="n">
        <x:v>4462</x:v>
      </x:c>
      <x:c r="J111" s="11" t="n">
        <x:f>E111/D111</x:f>
        <x:v>0.8409669211195929</x:v>
      </x:c>
      <x:c r="K111" s="11" t="n">
        <x:f>F111/D111</x:f>
        <x:v>0.15903307888040713</x:v>
      </x:c>
      <x:c r="L111" s="13" t="n">
        <x:f>I111/D111</x:f>
        <x:v>5.676844783715013</x:v>
      </x:c>
      <x:c r="M111" s="6" t="str">
        <x:v>Included</x:v>
      </x:c>
    </x:row>
    <x:row r="112" ht="23" customHeight="1">
      <x:c r="B112" s="12" t="str">
        <x:v>7121</x:v>
      </x:c>
      <x:c r="C112" s="6" t="str">
        <x:v>Jarvis St / Dundas St E</x:v>
      </x:c>
      <x:c r="D112" s="6" t="n">
        <x:v>788</x:v>
      </x:c>
      <x:c r="E112" s="6" t="n">
        <x:v>719</x:v>
      </x:c>
      <x:c r="F112" s="6" t="n">
        <x:v>69</x:v>
      </x:c>
      <x:c r="G112" s="6" t="n">
        <x:v>11</x:v>
      </x:c>
      <x:c r="H112" s="6" t="n">
        <x:v>116</x:v>
      </x:c>
      <x:c r="I112" s="6" t="n">
        <x:v>12703</x:v>
      </x:c>
      <x:c r="J112" s="11" t="n">
        <x:f>E112/D112</x:f>
        <x:v>0.9124365482233503</x:v>
      </x:c>
      <x:c r="K112" s="11" t="n">
        <x:f>F112/D112</x:f>
        <x:v>0.08756345177664974</x:v>
      </x:c>
      <x:c r="L112" s="13" t="n">
        <x:f>I112/D112</x:f>
        <x:v>16.120558375634516</x:v>
      </x:c>
      <x:c r="M112" s="6" t="str">
        <x:v>Included</x:v>
      </x:c>
    </x:row>
    <x:row r="113" ht="23" customHeight="1">
      <x:c r="B113" s="12" t="str">
        <x:v>7122</x:v>
      </x:c>
      <x:c r="C113" s="6" t="str">
        <x:v>Niagara St / Tecumseth St</x:v>
      </x:c>
      <x:c r="D113" s="6" t="n">
        <x:v>791</x:v>
      </x:c>
      <x:c r="E113" s="6" t="n">
        <x:v>570</x:v>
      </x:c>
      <x:c r="F113" s="6" t="n">
        <x:v>221</x:v>
      </x:c>
      <x:c r="G113" s="6" t="n">
        <x:v>11</x:v>
      </x:c>
      <x:c r="H113" s="6" t="n">
        <x:v>115</x:v>
      </x:c>
      <x:c r="I113" s="6" t="n">
        <x:v>5075</x:v>
      </x:c>
      <x:c r="J113" s="11" t="n">
        <x:f>E113/D113</x:f>
        <x:v>0.7206068268015171</x:v>
      </x:c>
      <x:c r="K113" s="11" t="n">
        <x:f>F113/D113</x:f>
        <x:v>0.27939317319848295</x:v>
      </x:c>
      <x:c r="L113" s="13" t="n">
        <x:f>I113/D113</x:f>
        <x:v>6.415929203539823</x:v>
      </x:c>
      <x:c r="M113" s="6" t="str">
        <x:v>Included</x:v>
      </x:c>
    </x:row>
    <x:row r="114" ht="23" customHeight="1">
      <x:c r="B114" s="12" t="str">
        <x:v>7123</x:v>
      </x:c>
      <x:c r="C114" s="6" t="str">
        <x:v>420 Wellington St W</x:v>
      </x:c>
      <x:c r="D114" s="6" t="n">
        <x:v>790</x:v>
      </x:c>
      <x:c r="E114" s="6" t="n">
        <x:v>624</x:v>
      </x:c>
      <x:c r="F114" s="6" t="n">
        <x:v>166</x:v>
      </x:c>
      <x:c r="G114" s="6" t="n">
        <x:v>11</x:v>
      </x:c>
      <x:c r="H114" s="6" t="n">
        <x:v>114</x:v>
      </x:c>
      <x:c r="I114" s="6" t="n">
        <x:v>3261</x:v>
      </x:c>
      <x:c r="J114" s="11" t="n">
        <x:f>E114/D114</x:f>
        <x:v>0.789873417721519</x:v>
      </x:c>
      <x:c r="K114" s="11" t="n">
        <x:f>F114/D114</x:f>
        <x:v>0.21012658227848102</x:v>
      </x:c>
      <x:c r="L114" s="13" t="n">
        <x:f>I114/D114</x:f>
        <x:v>4.127848101265823</x:v>
      </x:c>
      <x:c r="M114" s="6" t="str">
        <x:v>Included</x:v>
      </x:c>
    </x:row>
    <x:row r="115" ht="23" customHeight="1">
      <x:c r="B115" s="12" t="str">
        <x:v>7124</x:v>
      </x:c>
      <x:c r="C115" s="6" t="str">
        <x:v>Dundas St E / Broadview Ave</x:v>
      </x:c>
      <x:c r="D115" s="6" t="n">
        <x:v>788</x:v>
      </x:c>
      <x:c r="E115" s="6" t="n">
        <x:v>550</x:v>
      </x:c>
      <x:c r="F115" s="6" t="n">
        <x:v>238</x:v>
      </x:c>
      <x:c r="G115" s="6" t="n">
        <x:v>11</x:v>
      </x:c>
      <x:c r="H115" s="6" t="n">
        <x:v>115</x:v>
      </x:c>
      <x:c r="I115" s="6" t="n">
        <x:v>4618</x:v>
      </x:c>
      <x:c r="J115" s="11" t="n">
        <x:f>E115/D115</x:f>
        <x:v>0.6979695431472082</x:v>
      </x:c>
      <x:c r="K115" s="11" t="n">
        <x:f>F115/D115</x:f>
        <x:v>0.3020304568527919</x:v>
      </x:c>
      <x:c r="L115" s="13" t="n">
        <x:f>I115/D115</x:f>
        <x:v>5.8604060913705585</x:v>
      </x:c>
      <x:c r="M115" s="6" t="str">
        <x:v>Included</x:v>
      </x:c>
    </x:row>
    <x:row r="116" ht="23" customHeight="1">
      <x:c r="B116" s="12" t="str">
        <x:v>7126</x:v>
      </x:c>
      <x:c r="C116" s="6" t="str">
        <x:v>Yonge St / Yorkville Ave</x:v>
      </x:c>
      <x:c r="D116" s="6" t="n">
        <x:v>785</x:v>
      </x:c>
      <x:c r="E116" s="6" t="n">
        <x:v>785</x:v>
      </x:c>
      <x:c r="F116" s="6" t="n">
        <x:v>0</x:v>
      </x:c>
      <x:c r="G116" s="6" t="n">
        <x:v>11</x:v>
      </x:c>
      <x:c r="H116" s="6" t="n">
        <x:v>114</x:v>
      </x:c>
      <x:c r="I116" s="6" t="n">
        <x:v>9771</x:v>
      </x:c>
      <x:c r="J116" s="11" t="n">
        <x:f>E116/D116</x:f>
        <x:v>1</x:v>
      </x:c>
      <x:c r="K116" s="11" t="n">
        <x:f>F116/D116</x:f>
        <x:v>0</x:v>
      </x:c>
      <x:c r="L116" s="13" t="n">
        <x:f>I116/D116</x:f>
        <x:v>12.447133757961783</x:v>
      </x:c>
      <x:c r="M116" s="6" t="str">
        <x:v>Included</x:v>
      </x:c>
    </x:row>
    <x:row r="117" ht="23" customHeight="1">
      <x:c r="B117" s="12" t="str">
        <x:v>7127</x:v>
      </x:c>
      <x:c r="C117" s="6" t="str">
        <x:v>Bay St / Scollard St</x:v>
      </x:c>
      <x:c r="D117" s="6" t="n">
        <x:v>799</x:v>
      </x:c>
      <x:c r="E117" s="6" t="n">
        <x:v>799</x:v>
      </x:c>
      <x:c r="F117" s="6" t="n">
        <x:v>0</x:v>
      </x:c>
      <x:c r="G117" s="6" t="n">
        <x:v>11</x:v>
      </x:c>
      <x:c r="H117" s="6" t="n">
        <x:v>115</x:v>
      </x:c>
      <x:c r="I117" s="6" t="n">
        <x:v>10244</x:v>
      </x:c>
      <x:c r="J117" s="11" t="n">
        <x:f>E117/D117</x:f>
        <x:v>1</x:v>
      </x:c>
      <x:c r="K117" s="11" t="n">
        <x:f>F117/D117</x:f>
        <x:v>0</x:v>
      </x:c>
      <x:c r="L117" s="13" t="n">
        <x:f>I117/D117</x:f>
        <x:v>12.821026282853566</x:v>
      </x:c>
      <x:c r="M117" s="6" t="str">
        <x:v>Included</x:v>
      </x:c>
    </x:row>
    <x:row r="118" ht="23" customHeight="1">
      <x:c r="B118" s="12" t="str">
        <x:v>7128</x:v>
      </x:c>
      <x:c r="C118" s="6" t="str">
        <x:v>Yonge St / Aylmer Ave</x:v>
      </x:c>
      <x:c r="D118" s="6" t="n">
        <x:v>781</x:v>
      </x:c>
      <x:c r="E118" s="6" t="n">
        <x:v>781</x:v>
      </x:c>
      <x:c r="F118" s="6" t="n">
        <x:v>0</x:v>
      </x:c>
      <x:c r="G118" s="6" t="n">
        <x:v>11</x:v>
      </x:c>
      <x:c r="H118" s="6" t="n">
        <x:v>115</x:v>
      </x:c>
      <x:c r="I118" s="6" t="n">
        <x:v>16026</x:v>
      </x:c>
      <x:c r="J118" s="11" t="n">
        <x:f>E118/D118</x:f>
        <x:v>1</x:v>
      </x:c>
      <x:c r="K118" s="11" t="n">
        <x:f>F118/D118</x:f>
        <x:v>0</x:v>
      </x:c>
      <x:c r="L118" s="13" t="n">
        <x:f>I118/D118</x:f>
        <x:v>20.519846350832267</x:v>
      </x:c>
      <x:c r="M118" s="6" t="str">
        <x:v>Included</x:v>
      </x:c>
    </x:row>
    <x:row r="119" ht="23" customHeight="1">
      <x:c r="B119" s="12" t="str">
        <x:v>7129</x:v>
      </x:c>
      <x:c r="C119" s="6" t="str">
        <x:v>Davenport Rd / Avenue Rd</x:v>
      </x:c>
      <x:c r="D119" s="6" t="n">
        <x:v>794</x:v>
      </x:c>
      <x:c r="E119" s="6" t="n">
        <x:v>785</x:v>
      </x:c>
      <x:c r="F119" s="6" t="n">
        <x:v>9</x:v>
      </x:c>
      <x:c r="G119" s="6" t="n">
        <x:v>11</x:v>
      </x:c>
      <x:c r="H119" s="6" t="n">
        <x:v>116</x:v>
      </x:c>
      <x:c r="I119" s="6" t="n">
        <x:v>5962</x:v>
      </x:c>
      <x:c r="J119" s="11" t="n">
        <x:f>E119/D119</x:f>
        <x:v>0.9886649874055415</x:v>
      </x:c>
      <x:c r="K119" s="11" t="n">
        <x:f>F119/D119</x:f>
        <x:v>0.011335012594458438</x:v>
      </x:c>
      <x:c r="L119" s="13" t="n">
        <x:f>I119/D119</x:f>
        <x:v>7.508816120906801</x:v>
      </x:c>
      <x:c r="M119" s="6" t="str">
        <x:v>Included</x:v>
      </x:c>
    </x:row>
    <x:row r="120" ht="23" customHeight="1">
      <x:c r="B120" s="12" t="str">
        <x:v>7130</x:v>
      </x:c>
      <x:c r="C120" s="6" t="str">
        <x:v>Davenport Rd / Bedford Rd</x:v>
      </x:c>
      <x:c r="D120" s="6" t="n">
        <x:v>793</x:v>
      </x:c>
      <x:c r="E120" s="6" t="n">
        <x:v>793</x:v>
      </x:c>
      <x:c r="F120" s="6" t="n">
        <x:v>0</x:v>
      </x:c>
      <x:c r="G120" s="6" t="n">
        <x:v>11</x:v>
      </x:c>
      <x:c r="H120" s="6" t="n">
        <x:v>115</x:v>
      </x:c>
      <x:c r="I120" s="6" t="n">
        <x:v>9597</x:v>
      </x:c>
      <x:c r="J120" s="11" t="n">
        <x:f>E120/D120</x:f>
        <x:v>1</x:v>
      </x:c>
      <x:c r="K120" s="11" t="n">
        <x:f>F120/D120</x:f>
        <x:v>0</x:v>
      </x:c>
      <x:c r="L120" s="13" t="n">
        <x:f>I120/D120</x:f>
        <x:v>12.102143757881462</x:v>
      </x:c>
      <x:c r="M120" s="6" t="str">
        <x:v>Included</x:v>
      </x:c>
    </x:row>
    <x:row r="121" ht="23" customHeight="1">
      <x:c r="B121" s="12" t="str">
        <x:v>7131</x:v>
      </x:c>
      <x:c r="C121" s="6" t="str">
        <x:v>Taddle Creek Park</x:v>
      </x:c>
      <x:c r="D121" s="6" t="n">
        <x:v>778</x:v>
      </x:c>
      <x:c r="E121" s="6" t="n">
        <x:v>778</x:v>
      </x:c>
      <x:c r="F121" s="6" t="n">
        <x:v>0</x:v>
      </x:c>
      <x:c r="G121" s="6" t="n">
        <x:v>11</x:v>
      </x:c>
      <x:c r="H121" s="6" t="n">
        <x:v>114</x:v>
      </x:c>
      <x:c r="I121" s="6" t="n">
        <x:v>9095</x:v>
      </x:c>
      <x:c r="J121" s="11" t="n">
        <x:f>E121/D121</x:f>
        <x:v>1</x:v>
      </x:c>
      <x:c r="K121" s="11" t="n">
        <x:f>F121/D121</x:f>
        <x:v>0</x:v>
      </x:c>
      <x:c r="L121" s="13" t="n">
        <x:f>I121/D121</x:f>
        <x:v>11.690231362467866</x:v>
      </x:c>
      <x:c r="M121" s="6" t="str">
        <x:v>Included</x:v>
      </x:c>
    </x:row>
    <x:row r="122" ht="23" customHeight="1">
      <x:c r="B122" s="12" t="str">
        <x:v>7132</x:v>
      </x:c>
      <x:c r="C122" s="6" t="str">
        <x:v>Kendal Ave / Spadina Rd</x:v>
      </x:c>
      <x:c r="D122" s="6" t="n">
        <x:v>789</x:v>
      </x:c>
      <x:c r="E122" s="6" t="n">
        <x:v>746</x:v>
      </x:c>
      <x:c r="F122" s="6" t="n">
        <x:v>43</x:v>
      </x:c>
      <x:c r="G122" s="6" t="n">
        <x:v>11</x:v>
      </x:c>
      <x:c r="H122" s="6" t="n">
        <x:v>114</x:v>
      </x:c>
      <x:c r="I122" s="6" t="n">
        <x:v>4835</x:v>
      </x:c>
      <x:c r="J122" s="11" t="n">
        <x:f>E122/D122</x:f>
        <x:v>0.9455006337135615</x:v>
      </x:c>
      <x:c r="K122" s="11" t="n">
        <x:f>F122/D122</x:f>
        <x:v>0.05449936628643853</x:v>
      </x:c>
      <x:c r="L122" s="13" t="n">
        <x:f>I122/D122</x:f>
        <x:v>6.1280101394169835</x:v>
      </x:c>
      <x:c r="M122" s="6" t="str">
        <x:v>Included</x:v>
      </x:c>
    </x:row>
    <x:row r="123" ht="23" customHeight="1">
      <x:c r="B123" s="12" t="str">
        <x:v>7133</x:v>
      </x:c>
      <x:c r="C123" s="6" t="str">
        <x:v>Summerhill Subway Station</x:v>
      </x:c>
      <x:c r="D123" s="6" t="n">
        <x:v>789</x:v>
      </x:c>
      <x:c r="E123" s="6" t="n">
        <x:v>789</x:v>
      </x:c>
      <x:c r="F123" s="6" t="n">
        <x:v>0</x:v>
      </x:c>
      <x:c r="G123" s="6" t="n">
        <x:v>11</x:v>
      </x:c>
      <x:c r="H123" s="6" t="n">
        <x:v>114</x:v>
      </x:c>
      <x:c r="I123" s="6" t="n">
        <x:v>6312</x:v>
      </x:c>
      <x:c r="J123" s="11" t="n">
        <x:f>E123/D123</x:f>
        <x:v>1</x:v>
      </x:c>
      <x:c r="K123" s="11" t="n">
        <x:f>F123/D123</x:f>
        <x:v>0</x:v>
      </x:c>
      <x:c r="L123" s="13" t="n">
        <x:f>I123/D123</x:f>
        <x:v>8</x:v>
      </x:c>
      <x:c r="M123" s="6" t="str">
        <x:v>Included</x:v>
      </x:c>
    </x:row>
    <x:row r="124" ht="23" customHeight="1">
      <x:c r="B124" s="12" t="str">
        <x:v>7135</x:v>
      </x:c>
      <x:c r="C124" s="6" t="str">
        <x:v>Hanna Ave / Liberty St</x:v>
      </x:c>
      <x:c r="D124" s="6" t="n">
        <x:v>784</x:v>
      </x:c>
      <x:c r="E124" s="6" t="n">
        <x:v>735</x:v>
      </x:c>
      <x:c r="F124" s="6" t="n">
        <x:v>49</x:v>
      </x:c>
      <x:c r="G124" s="6" t="n">
        <x:v>11</x:v>
      </x:c>
      <x:c r="H124" s="6" t="n">
        <x:v>113</x:v>
      </x:c>
      <x:c r="I124" s="6" t="n">
        <x:v>8126</x:v>
      </x:c>
      <x:c r="J124" s="11" t="n">
        <x:f>E124/D124</x:f>
        <x:v>0.9375</x:v>
      </x:c>
      <x:c r="K124" s="11" t="n">
        <x:f>F124/D124</x:f>
        <x:v>0.0625</x:v>
      </x:c>
      <x:c r="L124" s="13" t="n">
        <x:f>I124/D124</x:f>
        <x:v>10.364795918367347</x:v>
      </x:c>
      <x:c r="M124" s="6" t="str">
        <x:v>Included</x:v>
      </x:c>
    </x:row>
    <x:row r="125" ht="23" customHeight="1">
      <x:c r="B125" s="12" t="str">
        <x:v>7137</x:v>
      </x:c>
      <x:c r="C125" s="6" t="str">
        <x:v>Davenport Rd / Bathurst St</x:v>
      </x:c>
      <x:c r="D125" s="6" t="n">
        <x:v>786</x:v>
      </x:c>
      <x:c r="E125" s="6" t="n">
        <x:v>786</x:v>
      </x:c>
      <x:c r="F125" s="6" t="n">
        <x:v>0</x:v>
      </x:c>
      <x:c r="G125" s="6" t="n">
        <x:v>11</x:v>
      </x:c>
      <x:c r="H125" s="6" t="n">
        <x:v>116</x:v>
      </x:c>
      <x:c r="I125" s="6" t="n">
        <x:v>9706</x:v>
      </x:c>
      <x:c r="J125" s="11" t="n">
        <x:f>E125/D125</x:f>
        <x:v>1</x:v>
      </x:c>
      <x:c r="K125" s="11" t="n">
        <x:f>F125/D125</x:f>
        <x:v>0</x:v>
      </x:c>
      <x:c r="L125" s="13" t="n">
        <x:f>I125/D125</x:f>
        <x:v>12.348600508905852</x:v>
      </x:c>
      <x:c r="M125" s="6" t="str">
        <x:v>Included</x:v>
      </x:c>
    </x:row>
    <x:row r="126" ht="23" customHeight="1">
      <x:c r="B126" s="12" t="str">
        <x:v>7138</x:v>
      </x:c>
      <x:c r="C126" s="6" t="str">
        <x:v>Davenport Rd / Christie St</x:v>
      </x:c>
      <x:c r="D126" s="6" t="n">
        <x:v>786</x:v>
      </x:c>
      <x:c r="E126" s="6" t="n">
        <x:v>786</x:v>
      </x:c>
      <x:c r="F126" s="6" t="n">
        <x:v>0</x:v>
      </x:c>
      <x:c r="G126" s="6" t="n">
        <x:v>11</x:v>
      </x:c>
      <x:c r="H126" s="6" t="n">
        <x:v>114</x:v>
      </x:c>
      <x:c r="I126" s="6" t="n">
        <x:v>18822</x:v>
      </x:c>
      <x:c r="J126" s="11" t="n">
        <x:f>E126/D126</x:f>
        <x:v>1</x:v>
      </x:c>
      <x:c r="K126" s="11" t="n">
        <x:f>F126/D126</x:f>
        <x:v>0</x:v>
      </x:c>
      <x:c r="L126" s="13" t="n">
        <x:f>I126/D126</x:f>
        <x:v>23.946564885496183</x:v>
      </x:c>
      <x:c r="M126" s="6" t="str">
        <x:v>Included</x:v>
      </x:c>
    </x:row>
    <x:row r="127" ht="23" customHeight="1">
      <x:c r="B127" s="12" t="str">
        <x:v>7139</x:v>
      </x:c>
      <x:c r="C127" s="6" t="str">
        <x:v>Glen Edyth Dr / Davenport Rd</x:v>
      </x:c>
      <x:c r="D127" s="6" t="n">
        <x:v>789</x:v>
      </x:c>
      <x:c r="E127" s="6" t="n">
        <x:v>789</x:v>
      </x:c>
      <x:c r="F127" s="6" t="n">
        <x:v>0</x:v>
      </x:c>
      <x:c r="G127" s="6" t="n">
        <x:v>11</x:v>
      </x:c>
      <x:c r="H127" s="6" t="n">
        <x:v>114</x:v>
      </x:c>
      <x:c r="I127" s="6" t="n">
        <x:v>9869</x:v>
      </x:c>
      <x:c r="J127" s="11" t="n">
        <x:f>E127/D127</x:f>
        <x:v>1</x:v>
      </x:c>
      <x:c r="K127" s="11" t="n">
        <x:f>F127/D127</x:f>
        <x:v>0</x:v>
      </x:c>
      <x:c r="L127" s="13" t="n">
        <x:f>I127/D127</x:f>
        <x:v>12.508238276299112</x:v>
      </x:c>
      <x:c r="M127" s="6" t="str">
        <x:v>Included</x:v>
      </x:c>
    </x:row>
    <x:row r="128" ht="23" customHeight="1">
      <x:c r="B128" s="12" t="str">
        <x:v>7140</x:v>
      </x:c>
      <x:c r="C128" s="6" t="str">
        <x:v>Macpherson Ave / Spadina Rd</x:v>
      </x:c>
      <x:c r="D128" s="6" t="n">
        <x:v>784</x:v>
      </x:c>
      <x:c r="E128" s="6" t="n">
        <x:v>784</x:v>
      </x:c>
      <x:c r="F128" s="6" t="n">
        <x:v>0</x:v>
      </x:c>
      <x:c r="G128" s="6" t="n">
        <x:v>11</x:v>
      </x:c>
      <x:c r="H128" s="6" t="n">
        <x:v>114</x:v>
      </x:c>
      <x:c r="I128" s="6" t="n">
        <x:v>9670</x:v>
      </x:c>
      <x:c r="J128" s="11" t="n">
        <x:f>E128/D128</x:f>
        <x:v>1</x:v>
      </x:c>
      <x:c r="K128" s="11" t="n">
        <x:f>F128/D128</x:f>
        <x:v>0</x:v>
      </x:c>
      <x:c r="L128" s="13" t="n">
        <x:f>I128/D128</x:f>
        <x:v>12.334183673469388</x:v>
      </x:c>
      <x:c r="M128" s="6" t="str">
        <x:v>Included</x:v>
      </x:c>
    </x:row>
    <x:row r="129" ht="23" customHeight="1">
      <x:c r="B129" s="12" t="str">
        <x:v>7142</x:v>
      </x:c>
      <x:c r="C129" s="6" t="str">
        <x:v>Bridgman Ave / Bathurst St</x:v>
      </x:c>
      <x:c r="D129" s="6" t="n">
        <x:v>783</x:v>
      </x:c>
      <x:c r="E129" s="6" t="n">
        <x:v>783</x:v>
      </x:c>
      <x:c r="F129" s="6" t="n">
        <x:v>0</x:v>
      </x:c>
      <x:c r="G129" s="6" t="n">
        <x:v>11</x:v>
      </x:c>
      <x:c r="H129" s="6" t="n">
        <x:v>114</x:v>
      </x:c>
      <x:c r="I129" s="6" t="n">
        <x:v>11464</x:v>
      </x:c>
      <x:c r="J129" s="11" t="n">
        <x:f>E129/D129</x:f>
        <x:v>1</x:v>
      </x:c>
      <x:c r="K129" s="11" t="n">
        <x:f>F129/D129</x:f>
        <x:v>0</x:v>
      </x:c>
      <x:c r="L129" s="13" t="n">
        <x:f>I129/D129</x:f>
        <x:v>14.641123882503193</x:v>
      </x:c>
      <x:c r="M129" s="6" t="str">
        <x:v>Included</x:v>
      </x:c>
    </x:row>
    <x:row r="130" ht="23" customHeight="1">
      <x:c r="B130" s="12" t="str">
        <x:v>7143</x:v>
      </x:c>
      <x:c r="C130" s="6" t="str">
        <x:v>Kendal Ave / Bernard Ave</x:v>
      </x:c>
      <x:c r="D130" s="6" t="n">
        <x:v>790</x:v>
      </x:c>
      <x:c r="E130" s="6" t="n">
        <x:v>790</x:v>
      </x:c>
      <x:c r="F130" s="6" t="n">
        <x:v>0</x:v>
      </x:c>
      <x:c r="G130" s="6" t="n">
        <x:v>11</x:v>
      </x:c>
      <x:c r="H130" s="6" t="n">
        <x:v>115</x:v>
      </x:c>
      <x:c r="I130" s="6" t="n">
        <x:v>9720</x:v>
      </x:c>
      <x:c r="J130" s="11" t="n">
        <x:f>E130/D130</x:f>
        <x:v>1</x:v>
      </x:c>
      <x:c r="K130" s="11" t="n">
        <x:f>F130/D130</x:f>
        <x:v>0</x:v>
      </x:c>
      <x:c r="L130" s="13" t="n">
        <x:f>I130/D130</x:f>
        <x:v>12.30379746835443</x:v>
      </x:c>
      <x:c r="M130" s="6" t="str">
        <x:v>Included</x:v>
      </x:c>
    </x:row>
    <x:row r="131" ht="23" customHeight="1">
      <x:c r="B131" s="12" t="str">
        <x:v>7144</x:v>
      </x:c>
      <x:c r="C131" s="6" t="str">
        <x:v>Palmerston Ave / Vermont Ave</x:v>
      </x:c>
      <x:c r="D131" s="6" t="n">
        <x:v>784</x:v>
      </x:c>
      <x:c r="E131" s="6" t="n">
        <x:v>781</x:v>
      </x:c>
      <x:c r="F131" s="6" t="n">
        <x:v>3</x:v>
      </x:c>
      <x:c r="G131" s="6" t="n">
        <x:v>11</x:v>
      </x:c>
      <x:c r="H131" s="6" t="n">
        <x:v>115</x:v>
      </x:c>
      <x:c r="I131" s="6" t="n">
        <x:v>7351</x:v>
      </x:c>
      <x:c r="J131" s="11" t="n">
        <x:f>E131/D131</x:f>
        <x:v>0.9961734693877551</x:v>
      </x:c>
      <x:c r="K131" s="11" t="n">
        <x:f>F131/D131</x:f>
        <x:v>0.003826530612244898</x:v>
      </x:c>
      <x:c r="L131" s="13" t="n">
        <x:f>I131/D131</x:f>
        <x:v>9.376275510204081</x:v>
      </x:c>
      <x:c r="M131" s="6" t="str">
        <x:v>Included</x:v>
      </x:c>
    </x:row>
    <x:row r="132" ht="23" customHeight="1">
      <x:c r="B132" s="12" t="str">
        <x:v>7146</x:v>
      </x:c>
      <x:c r="C132" s="6" t="str">
        <x:v>Christie St / Benson Ave (Wychwood Barns)</x:v>
      </x:c>
      <x:c r="D132" s="6" t="n">
        <x:v>784</x:v>
      </x:c>
      <x:c r="E132" s="6" t="n">
        <x:v>784</x:v>
      </x:c>
      <x:c r="F132" s="6" t="n">
        <x:v>0</x:v>
      </x:c>
      <x:c r="G132" s="6" t="n">
        <x:v>11</x:v>
      </x:c>
      <x:c r="H132" s="6" t="n">
        <x:v>115</x:v>
      </x:c>
      <x:c r="I132" s="6" t="n">
        <x:v>12530</x:v>
      </x:c>
      <x:c r="J132" s="11" t="n">
        <x:f>E132/D132</x:f>
        <x:v>1</x:v>
      </x:c>
      <x:c r="K132" s="11" t="n">
        <x:f>F132/D132</x:f>
        <x:v>0</x:v>
      </x:c>
      <x:c r="L132" s="13" t="n">
        <x:f>I132/D132</x:f>
        <x:v>15.982142857142858</x:v>
      </x:c>
      <x:c r="M132" s="6" t="str">
        <x:v>Included</x:v>
      </x:c>
    </x:row>
    <x:row r="133" ht="23" customHeight="1">
      <x:c r="B133" s="12" t="str">
        <x:v>7147</x:v>
      </x:c>
      <x:c r="C133" s="6" t="str">
        <x:v>King St W / Fraser Ave</x:v>
      </x:c>
      <x:c r="D133" s="6" t="n">
        <x:v>790</x:v>
      </x:c>
      <x:c r="E133" s="6" t="n">
        <x:v>495</x:v>
      </x:c>
      <x:c r="F133" s="6" t="n">
        <x:v>295</x:v>
      </x:c>
      <x:c r="G133" s="6" t="n">
        <x:v>11</x:v>
      </x:c>
      <x:c r="H133" s="6" t="n">
        <x:v>115</x:v>
      </x:c>
      <x:c r="I133" s="6" t="n">
        <x:v>2014</x:v>
      </x:c>
      <x:c r="J133" s="11" t="n">
        <x:f>E133/D133</x:f>
        <x:v>0.6265822784810127</x:v>
      </x:c>
      <x:c r="K133" s="11" t="n">
        <x:f>F133/D133</x:f>
        <x:v>0.37341772151898733</x:v>
      </x:c>
      <x:c r="L133" s="13" t="n">
        <x:f>I133/D133</x:f>
        <x:v>2.5493670886075948</x:v>
      </x:c>
      <x:c r="M133" s="6" t="str">
        <x:v>Included</x:v>
      </x:c>
    </x:row>
    <x:row r="134" ht="23" customHeight="1">
      <x:c r="B134" s="12" t="str">
        <x:v>7148</x:v>
      </x:c>
      <x:c r="C134" s="6" t="str">
        <x:v>King St W / Joe Shuster Way</x:v>
      </x:c>
      <x:c r="D134" s="6" t="n">
        <x:v>791</x:v>
      </x:c>
      <x:c r="E134" s="6" t="n">
        <x:v>669</x:v>
      </x:c>
      <x:c r="F134" s="6" t="n">
        <x:v>122</x:v>
      </x:c>
      <x:c r="G134" s="6" t="n">
        <x:v>11</x:v>
      </x:c>
      <x:c r="H134" s="6" t="n">
        <x:v>116</x:v>
      </x:c>
      <x:c r="I134" s="6" t="n">
        <x:v>2519</x:v>
      </x:c>
      <x:c r="J134" s="11" t="n">
        <x:f>E134/D134</x:f>
        <x:v>0.8457648546144121</x:v>
      </x:c>
      <x:c r="K134" s="11" t="n">
        <x:f>F134/D134</x:f>
        <x:v>0.15423514538558786</x:v>
      </x:c>
      <x:c r="L134" s="13" t="n">
        <x:f>I134/D134</x:f>
        <x:v>3.184576485461441</x:v>
      </x:c>
      <x:c r="M134" s="6" t="str">
        <x:v>Included</x:v>
      </x:c>
    </x:row>
    <x:row r="135" ht="23" customHeight="1">
      <x:c r="B135" s="12" t="str">
        <x:v>7149</x:v>
      </x:c>
      <x:c r="C135" s="6" t="str">
        <x:v>Yarmouth Rd / Christie St</x:v>
      </x:c>
      <x:c r="D135" s="6" t="n">
        <x:v>790</x:v>
      </x:c>
      <x:c r="E135" s="6" t="n">
        <x:v>783</x:v>
      </x:c>
      <x:c r="F135" s="6" t="n">
        <x:v>7</x:v>
      </x:c>
      <x:c r="G135" s="6" t="n">
        <x:v>11</x:v>
      </x:c>
      <x:c r="H135" s="6" t="n">
        <x:v>115</x:v>
      </x:c>
      <x:c r="I135" s="6" t="n">
        <x:v>5889</x:v>
      </x:c>
      <x:c r="J135" s="11" t="n">
        <x:f>E135/D135</x:f>
        <x:v>0.9911392405063291</x:v>
      </x:c>
      <x:c r="K135" s="11" t="n">
        <x:f>F135/D135</x:f>
        <x:v>0.008860759493670886</x:v>
      </x:c>
      <x:c r="L135" s="13" t="n">
        <x:f>I135/D135</x:f>
        <x:v>7.454430379746835</x:v>
      </x:c>
      <x:c r="M135" s="6" t="str">
        <x:v>Included</x:v>
      </x:c>
    </x:row>
    <x:row r="136" ht="23" customHeight="1">
      <x:c r="B136" s="12" t="str">
        <x:v>7150</x:v>
      </x:c>
      <x:c r="C136" s="6" t="str">
        <x:v>Dufferin St / Sylvan Av (Dufferin Grove Park)</x:v>
      </x:c>
      <x:c r="D136" s="6" t="n">
        <x:v>751</x:v>
      </x:c>
      <x:c r="E136" s="6" t="n">
        <x:v>750</x:v>
      </x:c>
      <x:c r="F136" s="6" t="n">
        <x:v>1</x:v>
      </x:c>
      <x:c r="G136" s="6" t="n">
        <x:v>11</x:v>
      </x:c>
      <x:c r="H136" s="6" t="n">
        <x:v>114</x:v>
      </x:c>
      <x:c r="I136" s="6" t="n">
        <x:v>5988</x:v>
      </x:c>
      <x:c r="J136" s="11" t="n">
        <x:f>E136/D136</x:f>
        <x:v>0.9986684420772304</x:v>
      </x:c>
      <x:c r="K136" s="11" t="n">
        <x:f>F136/D136</x:f>
        <x:v>0.0013315579227696406</x:v>
      </x:c>
      <x:c r="L136" s="13" t="n">
        <x:f>I136/D136</x:f>
        <x:v>7.973368841544607</x:v>
      </x:c>
      <x:c r="M136" s="6" t="str">
        <x:v>Included</x:v>
      </x:c>
    </x:row>
    <x:row r="137" ht="23" customHeight="1">
      <x:c r="B137" s="12" t="str">
        <x:v>7151</x:v>
      </x:c>
      <x:c r="C137" s="6" t="str">
        <x:v>Essex St / Christie St</x:v>
      </x:c>
      <x:c r="D137" s="6" t="n">
        <x:v>791</x:v>
      </x:c>
      <x:c r="E137" s="6" t="n">
        <x:v>791</x:v>
      </x:c>
      <x:c r="F137" s="6" t="n">
        <x:v>0</x:v>
      </x:c>
      <x:c r="G137" s="6" t="n">
        <x:v>11</x:v>
      </x:c>
      <x:c r="H137" s="6" t="n">
        <x:v>115</x:v>
      </x:c>
      <x:c r="I137" s="6" t="n">
        <x:v>11305</x:v>
      </x:c>
      <x:c r="J137" s="11" t="n">
        <x:f>E137/D137</x:f>
        <x:v>1</x:v>
      </x:c>
      <x:c r="K137" s="11" t="n">
        <x:f>F137/D137</x:f>
        <x:v>0</x:v>
      </x:c>
      <x:c r="L137" s="13" t="n">
        <x:f>I137/D137</x:f>
        <x:v>14.29203539823009</x:v>
      </x:c>
      <x:c r="M137" s="6" t="str">
        <x:v>Included</x:v>
      </x:c>
    </x:row>
    <x:row r="138" ht="23" customHeight="1">
      <x:c r="B138" s="12" t="str">
        <x:v>7152</x:v>
      </x:c>
      <x:c r="C138" s="6" t="str">
        <x:v>Ossington Ave / Bloor St W</x:v>
      </x:c>
      <x:c r="D138" s="6" t="n">
        <x:v>789</x:v>
      </x:c>
      <x:c r="E138" s="6" t="n">
        <x:v>781</x:v>
      </x:c>
      <x:c r="F138" s="6" t="n">
        <x:v>8</x:v>
      </x:c>
      <x:c r="G138" s="6" t="n">
        <x:v>11</x:v>
      </x:c>
      <x:c r="H138" s="6" t="n">
        <x:v>114</x:v>
      </x:c>
      <x:c r="I138" s="6" t="n">
        <x:v>6295</x:v>
      </x:c>
      <x:c r="J138" s="11" t="n">
        <x:f>E138/D138</x:f>
        <x:v>0.9898605830164765</x:v>
      </x:c>
      <x:c r="K138" s="11" t="n">
        <x:f>F138/D138</x:f>
        <x:v>0.010139416983523447</x:v>
      </x:c>
      <x:c r="L138" s="13" t="n">
        <x:f>I138/D138</x:f>
        <x:v>7.978453738910012</x:v>
      </x:c>
      <x:c r="M138" s="6" t="str">
        <x:v>Included</x:v>
      </x:c>
    </x:row>
    <x:row r="139" ht="23" customHeight="1">
      <x:c r="B139" s="12" t="str">
        <x:v>7153</x:v>
      </x:c>
      <x:c r="C139" s="6" t="str">
        <x:v>Bloor St W / Christie St</x:v>
      </x:c>
      <x:c r="D139" s="6" t="n">
        <x:v>788</x:v>
      </x:c>
      <x:c r="E139" s="6" t="n">
        <x:v>788</x:v>
      </x:c>
      <x:c r="F139" s="6" t="n">
        <x:v>0</x:v>
      </x:c>
      <x:c r="G139" s="6" t="n">
        <x:v>11</x:v>
      </x:c>
      <x:c r="H139" s="6" t="n">
        <x:v>113</x:v>
      </x:c>
      <x:c r="I139" s="6" t="n">
        <x:v>11807</x:v>
      </x:c>
      <x:c r="J139" s="11" t="n">
        <x:f>E139/D139</x:f>
        <x:v>1</x:v>
      </x:c>
      <x:c r="K139" s="11" t="n">
        <x:f>F139/D139</x:f>
        <x:v>0</x:v>
      </x:c>
      <x:c r="L139" s="13" t="n">
        <x:f>I139/D139</x:f>
        <x:v>14.983502538071066</x:v>
      </x:c>
      <x:c r="M139" s="6" t="str">
        <x:v>Included</x:v>
      </x:c>
    </x:row>
    <x:row r="140" ht="23" customHeight="1">
      <x:c r="B140" s="12" t="str">
        <x:v>7154</x:v>
      </x:c>
      <x:c r="C140" s="6" t="str">
        <x:v>Bathurst Subway Station</x:v>
      </x:c>
      <x:c r="D140" s="6" t="n">
        <x:v>788</x:v>
      </x:c>
      <x:c r="E140" s="6" t="n">
        <x:v>788</x:v>
      </x:c>
      <x:c r="F140" s="6" t="n">
        <x:v>0</x:v>
      </x:c>
      <x:c r="G140" s="6" t="n">
        <x:v>11</x:v>
      </x:c>
      <x:c r="H140" s="6" t="n">
        <x:v>115</x:v>
      </x:c>
      <x:c r="I140" s="6" t="n">
        <x:v>15557</x:v>
      </x:c>
      <x:c r="J140" s="11" t="n">
        <x:f>E140/D140</x:f>
        <x:v>1</x:v>
      </x:c>
      <x:c r="K140" s="11" t="n">
        <x:f>F140/D140</x:f>
        <x:v>0</x:v>
      </x:c>
      <x:c r="L140" s="13" t="n">
        <x:f>I140/D140</x:f>
        <x:v>19.742385786802032</x:v>
      </x:c>
      <x:c r="M140" s="6" t="str">
        <x:v>Included</x:v>
      </x:c>
    </x:row>
    <x:row r="141" ht="23" customHeight="1">
      <x:c r="B141" s="12" t="str">
        <x:v>7155</x:v>
      </x:c>
      <x:c r="C141" s="6" t="str">
        <x:v>Bathurst St / Lennox St</x:v>
      </x:c>
      <x:c r="D141" s="6" t="n">
        <x:v>794</x:v>
      </x:c>
      <x:c r="E141" s="6" t="n">
        <x:v>793</x:v>
      </x:c>
      <x:c r="F141" s="6" t="n">
        <x:v>1</x:v>
      </x:c>
      <x:c r="G141" s="6" t="n">
        <x:v>11</x:v>
      </x:c>
      <x:c r="H141" s="6" t="n">
        <x:v>114</x:v>
      </x:c>
      <x:c r="I141" s="6" t="n">
        <x:v>10648</x:v>
      </x:c>
      <x:c r="J141" s="11" t="n">
        <x:f>E141/D141</x:f>
        <x:v>0.9987405541561712</x:v>
      </x:c>
      <x:c r="K141" s="11" t="n">
        <x:f>F141/D141</x:f>
        <x:v>0.0012594458438287153</x:v>
      </x:c>
      <x:c r="L141" s="13" t="n">
        <x:f>I141/D141</x:f>
        <x:v>13.410579345088161</x:v>
      </x:c>
      <x:c r="M141" s="6" t="str">
        <x:v>Included</x:v>
      </x:c>
    </x:row>
    <x:row r="142" ht="23" customHeight="1">
      <x:c r="B142" s="12" t="str">
        <x:v>7156</x:v>
      </x:c>
      <x:c r="C142" s="6" t="str">
        <x:v>Salem Ave / Bloor St W</x:v>
      </x:c>
      <x:c r="D142" s="6" t="n">
        <x:v>786</x:v>
      </x:c>
      <x:c r="E142" s="6" t="n">
        <x:v>784</x:v>
      </x:c>
      <x:c r="F142" s="6" t="n">
        <x:v>2</x:v>
      </x:c>
      <x:c r="G142" s="6" t="n">
        <x:v>11</x:v>
      </x:c>
      <x:c r="H142" s="6" t="n">
        <x:v>114</x:v>
      </x:c>
      <x:c r="I142" s="6" t="n">
        <x:v>7605</x:v>
      </x:c>
      <x:c r="J142" s="11" t="n">
        <x:f>E142/D142</x:f>
        <x:v>0.9974554707379135</x:v>
      </x:c>
      <x:c r="K142" s="11" t="n">
        <x:f>F142/D142</x:f>
        <x:v>0.002544529262086514</x:v>
      </x:c>
      <x:c r="L142" s="13" t="n">
        <x:f>I142/D142</x:f>
        <x:v>9.67557251908397</x:v>
      </x:c>
      <x:c r="M142" s="6" t="str">
        <x:v>Included</x:v>
      </x:c>
    </x:row>
    <x:row r="143" ht="23" customHeight="1">
      <x:c r="B143" s="12" t="str">
        <x:v>7157</x:v>
      </x:c>
      <x:c r="C143" s="6" t="str">
        <x:v>Dufferin St / Bloor St W</x:v>
      </x:c>
      <x:c r="D143" s="6" t="n">
        <x:v>785</x:v>
      </x:c>
      <x:c r="E143" s="6" t="n">
        <x:v>785</x:v>
      </x:c>
      <x:c r="F143" s="6" t="n">
        <x:v>0</x:v>
      </x:c>
      <x:c r="G143" s="6" t="n">
        <x:v>11</x:v>
      </x:c>
      <x:c r="H143" s="6" t="n">
        <x:v>114</x:v>
      </x:c>
      <x:c r="I143" s="6" t="n">
        <x:v>13176</x:v>
      </x:c>
      <x:c r="J143" s="11" t="n">
        <x:f>E143/D143</x:f>
        <x:v>1</x:v>
      </x:c>
      <x:c r="K143" s="11" t="n">
        <x:f>F143/D143</x:f>
        <x:v>0</x:v>
      </x:c>
      <x:c r="L143" s="13" t="n">
        <x:f>I143/D143</x:f>
        <x:v>16.78471337579618</x:v>
      </x:c>
      <x:c r="M143" s="6" t="str">
        <x:v>Included</x:v>
      </x:c>
    </x:row>
    <x:row r="144" ht="23" customHeight="1">
      <x:c r="B144" s="12" t="str">
        <x:v>7158</x:v>
      </x:c>
      <x:c r="C144" s="6" t="str">
        <x:v>King St W / Stafford St</x:v>
      </x:c>
      <x:c r="D144" s="6" t="n">
        <x:v>793</x:v>
      </x:c>
      <x:c r="E144" s="6" t="n">
        <x:v>588</x:v>
      </x:c>
      <x:c r="F144" s="6" t="n">
        <x:v>205</x:v>
      </x:c>
      <x:c r="G144" s="6" t="n">
        <x:v>11</x:v>
      </x:c>
      <x:c r="H144" s="6" t="n">
        <x:v>115</x:v>
      </x:c>
      <x:c r="I144" s="6" t="n">
        <x:v>4679</x:v>
      </x:c>
      <x:c r="J144" s="11" t="n">
        <x:f>E144/D144</x:f>
        <x:v>0.7414880201765448</x:v>
      </x:c>
      <x:c r="K144" s="11" t="n">
        <x:f>F144/D144</x:f>
        <x:v>0.25851197982345525</x:v>
      </x:c>
      <x:c r="L144" s="13" t="n">
        <x:f>I144/D144</x:f>
        <x:v>5.900378310214376</x:v>
      </x:c>
      <x:c r="M144" s="6" t="str">
        <x:v>Included</x:v>
      </x:c>
    </x:row>
    <x:row r="145" ht="23" customHeight="1">
      <x:c r="B145" s="12" t="str">
        <x:v>7160</x:v>
      </x:c>
      <x:c r="C145" s="6" t="str">
        <x:v>King St W / Tecumseth St</x:v>
      </x:c>
      <x:c r="D145" s="6" t="n">
        <x:v>782</x:v>
      </x:c>
      <x:c r="E145" s="6" t="n">
        <x:v>648</x:v>
      </x:c>
      <x:c r="F145" s="6" t="n">
        <x:v>134</x:v>
      </x:c>
      <x:c r="G145" s="6" t="n">
        <x:v>11</x:v>
      </x:c>
      <x:c r="H145" s="6" t="n">
        <x:v>114</x:v>
      </x:c>
      <x:c r="I145" s="6" t="n">
        <x:v>6712</x:v>
      </x:c>
      <x:c r="J145" s="11" t="n">
        <x:f>E145/D145</x:f>
        <x:v>0.8286445012787724</x:v>
      </x:c>
      <x:c r="K145" s="11" t="n">
        <x:f>F145/D145</x:f>
        <x:v>0.17135549872122763</x:v>
      </x:c>
      <x:c r="L145" s="13" t="n">
        <x:f>I145/D145</x:f>
        <x:v>8.583120204603581</x:v>
      </x:c>
      <x:c r="M145" s="6" t="str">
        <x:v>Included</x:v>
      </x:c>
    </x:row>
    <x:row r="146" ht="23" customHeight="1">
      <x:c r="B146" s="12" t="str">
        <x:v>7161</x:v>
      </x:c>
      <x:c r="C146" s="6" t="str">
        <x:v>Beverley St / College St</x:v>
      </x:c>
      <x:c r="D146" s="6" t="n">
        <x:v>782</x:v>
      </x:c>
      <x:c r="E146" s="6" t="n">
        <x:v>754</x:v>
      </x:c>
      <x:c r="F146" s="6" t="n">
        <x:v>28</x:v>
      </x:c>
      <x:c r="G146" s="6" t="n">
        <x:v>11</x:v>
      </x:c>
      <x:c r="H146" s="6" t="n">
        <x:v>115</x:v>
      </x:c>
      <x:c r="I146" s="6" t="n">
        <x:v>11469</x:v>
      </x:c>
      <x:c r="J146" s="11" t="n">
        <x:f>E146/D146</x:f>
        <x:v>0.9641943734015346</x:v>
      </x:c>
      <x:c r="K146" s="11" t="n">
        <x:f>F146/D146</x:f>
        <x:v>0.03580562659846547</x:v>
      </x:c>
      <x:c r="L146" s="13" t="n">
        <x:f>I146/D146</x:f>
        <x:v>14.66624040920716</x:v>
      </x:c>
      <x:c r="M146" s="6" t="str">
        <x:v>Included</x:v>
      </x:c>
    </x:row>
    <x:row r="147" ht="23" customHeight="1">
      <x:c r="B147" s="12" t="str">
        <x:v>7162</x:v>
      </x:c>
      <x:c r="C147" s="6" t="str">
        <x:v>Hayter St / La Plante Ave</x:v>
      </x:c>
      <x:c r="D147" s="6" t="n">
        <x:v>788</x:v>
      </x:c>
      <x:c r="E147" s="6" t="n">
        <x:v>763</x:v>
      </x:c>
      <x:c r="F147" s="6" t="n">
        <x:v>25</x:v>
      </x:c>
      <x:c r="G147" s="6" t="n">
        <x:v>11</x:v>
      </x:c>
      <x:c r="H147" s="6" t="n">
        <x:v>115</x:v>
      </x:c>
      <x:c r="I147" s="6" t="n">
        <x:v>14243</x:v>
      </x:c>
      <x:c r="J147" s="11" t="n">
        <x:f>E147/D147</x:f>
        <x:v>0.9682741116751269</x:v>
      </x:c>
      <x:c r="K147" s="11" t="n">
        <x:f>F147/D147</x:f>
        <x:v>0.031725888324873094</x:v>
      </x:c>
      <x:c r="L147" s="13" t="n">
        <x:f>I147/D147</x:f>
        <x:v>18.0748730964467</x:v>
      </x:c>
      <x:c r="M147" s="6" t="str">
        <x:v>Included</x:v>
      </x:c>
    </x:row>
    <x:row r="148" ht="23" customHeight="1">
      <x:c r="B148" s="12" t="str">
        <x:v>7164</x:v>
      </x:c>
      <x:c r="C148" s="6" t="str">
        <x:v>Gould St / Yonge St (TMU)</x:v>
      </x:c>
      <x:c r="D148" s="6" t="n">
        <x:v>786</x:v>
      </x:c>
      <x:c r="E148" s="6" t="n">
        <x:v>785</x:v>
      </x:c>
      <x:c r="F148" s="6" t="n">
        <x:v>1</x:v>
      </x:c>
      <x:c r="G148" s="6" t="n">
        <x:v>11</x:v>
      </x:c>
      <x:c r="H148" s="6" t="n">
        <x:v>115</x:v>
      </x:c>
      <x:c r="I148" s="6" t="n">
        <x:v>13983</x:v>
      </x:c>
      <x:c r="J148" s="11" t="n">
        <x:f>E148/D148</x:f>
        <x:v>0.9987277353689568</x:v>
      </x:c>
      <x:c r="K148" s="11" t="n">
        <x:f>F148/D148</x:f>
        <x:v>0.001272264631043257</x:v>
      </x:c>
      <x:c r="L148" s="13" t="n">
        <x:f>I148/D148</x:f>
        <x:v>17.790076335877863</x:v>
      </x:c>
      <x:c r="M148" s="6" t="str">
        <x:v>Included</x:v>
      </x:c>
    </x:row>
    <x:row r="149" ht="23" customHeight="1">
      <x:c r="B149" s="12" t="str">
        <x:v>7168</x:v>
      </x:c>
      <x:c r="C149" s="6" t="str">
        <x:v>Queens Quay / Yonge St</x:v>
      </x:c>
      <x:c r="D149" s="6" t="n">
        <x:v>786</x:v>
      </x:c>
      <x:c r="E149" s="6" t="n">
        <x:v>786</x:v>
      </x:c>
      <x:c r="F149" s="6" t="n">
        <x:v>0</x:v>
      </x:c>
      <x:c r="G149" s="6" t="n">
        <x:v>11</x:v>
      </x:c>
      <x:c r="H149" s="6" t="n">
        <x:v>115</x:v>
      </x:c>
      <x:c r="I149" s="6" t="n">
        <x:v>17423</x:v>
      </x:c>
      <x:c r="J149" s="11" t="n">
        <x:f>E149/D149</x:f>
        <x:v>1</x:v>
      </x:c>
      <x:c r="K149" s="11" t="n">
        <x:f>F149/D149</x:f>
        <x:v>0</x:v>
      </x:c>
      <x:c r="L149" s="13" t="n">
        <x:f>I149/D149</x:f>
        <x:v>22.166666666666668</x:v>
      </x:c>
      <x:c r="M149" s="6" t="str">
        <x:v>Included</x:v>
      </x:c>
    </x:row>
    <x:row r="150" ht="23" customHeight="1">
      <x:c r="B150" s="12" t="str">
        <x:v>7169</x:v>
      </x:c>
      <x:c r="C150" s="6" t="str">
        <x:v>Front St W / Bay St (North Side)</x:v>
      </x:c>
      <x:c r="D150" s="6" t="n">
        <x:v>786</x:v>
      </x:c>
      <x:c r="E150" s="6" t="n">
        <x:v>688</x:v>
      </x:c>
      <x:c r="F150" s="6" t="n">
        <x:v>98</x:v>
      </x:c>
      <x:c r="G150" s="6" t="n">
        <x:v>11</x:v>
      </x:c>
      <x:c r="H150" s="6" t="n">
        <x:v>114</x:v>
      </x:c>
      <x:c r="I150" s="6" t="n">
        <x:v>4270</x:v>
      </x:c>
      <x:c r="J150" s="11" t="n">
        <x:f>E150/D150</x:f>
        <x:v>0.8753180661577609</x:v>
      </x:c>
      <x:c r="K150" s="11" t="n">
        <x:f>F150/D150</x:f>
        <x:v>0.12468193384223919</x:v>
      </x:c>
      <x:c r="L150" s="13" t="n">
        <x:f>I150/D150</x:f>
        <x:v>5.432569974554707</x:v>
      </x:c>
      <x:c r="M150" s="6" t="str">
        <x:v>Included</x:v>
      </x:c>
    </x:row>
    <x:row r="151" ht="23" customHeight="1">
      <x:c r="B151" s="12" t="str">
        <x:v>7170</x:v>
      </x:c>
      <x:c r="C151" s="6" t="str">
        <x:v>Spadina Ave / Willcocks St</x:v>
      </x:c>
      <x:c r="D151" s="6" t="n">
        <x:v>794</x:v>
      </x:c>
      <x:c r="E151" s="6" t="n">
        <x:v>793</x:v>
      </x:c>
      <x:c r="F151" s="6" t="n">
        <x:v>1</x:v>
      </x:c>
      <x:c r="G151" s="6" t="n">
        <x:v>11</x:v>
      </x:c>
      <x:c r="H151" s="6" t="n">
        <x:v>116</x:v>
      </x:c>
      <x:c r="I151" s="6" t="n">
        <x:v>7170</x:v>
      </x:c>
      <x:c r="J151" s="11" t="n">
        <x:f>E151/D151</x:f>
        <x:v>0.9987405541561712</x:v>
      </x:c>
      <x:c r="K151" s="11" t="n">
        <x:f>F151/D151</x:f>
        <x:v>0.0012594458438287153</x:v>
      </x:c>
      <x:c r="L151" s="13" t="n">
        <x:f>I151/D151</x:f>
        <x:v>9.03022670025189</x:v>
      </x:c>
      <x:c r="M151" s="6" t="str">
        <x:v>Included</x:v>
      </x:c>
    </x:row>
    <x:row r="152" ht="23" customHeight="1">
      <x:c r="B152" s="12" t="str">
        <x:v>7172</x:v>
      </x:c>
      <x:c r="C152" s="6" t="str">
        <x:v>Strachan Ave / Princes' Blvd</x:v>
      </x:c>
      <x:c r="D152" s="6" t="n">
        <x:v>768</x:v>
      </x:c>
      <x:c r="E152" s="6" t="n">
        <x:v>710</x:v>
      </x:c>
      <x:c r="F152" s="6" t="n">
        <x:v>58</x:v>
      </x:c>
      <x:c r="G152" s="6" t="n">
        <x:v>11</x:v>
      </x:c>
      <x:c r="H152" s="6" t="n">
        <x:v>114</x:v>
      </x:c>
      <x:c r="I152" s="6" t="n">
        <x:v>3859</x:v>
      </x:c>
      <x:c r="J152" s="11" t="n">
        <x:f>E152/D152</x:f>
        <x:v>0.9244791666666666</x:v>
      </x:c>
      <x:c r="K152" s="11" t="n">
        <x:f>F152/D152</x:f>
        <x:v>0.07552083333333333</x:v>
      </x:c>
      <x:c r="L152" s="13" t="n">
        <x:f>I152/D152</x:f>
        <x:v>5.024739583333333</x:v>
      </x:c>
      <x:c r="M152" s="6" t="str">
        <x:v>Included</x:v>
      </x:c>
    </x:row>
    <x:row r="153" ht="23" customHeight="1">
      <x:c r="B153" s="12" t="str">
        <x:v>7173</x:v>
      </x:c>
      <x:c r="C153" s="6" t="str">
        <x:v>Cariboo Ave / Railpath Trail</x:v>
      </x:c>
      <x:c r="D153" s="6" t="n">
        <x:v>788</x:v>
      </x:c>
      <x:c r="E153" s="6" t="n">
        <x:v>788</x:v>
      </x:c>
      <x:c r="F153" s="6" t="n">
        <x:v>0</x:v>
      </x:c>
      <x:c r="G153" s="6" t="n">
        <x:v>11</x:v>
      </x:c>
      <x:c r="H153" s="6" t="n">
        <x:v>113</x:v>
      </x:c>
      <x:c r="I153" s="6" t="n">
        <x:v>11311</x:v>
      </x:c>
      <x:c r="J153" s="11" t="n">
        <x:f>E153/D153</x:f>
        <x:v>1</x:v>
      </x:c>
      <x:c r="K153" s="11" t="n">
        <x:f>F153/D153</x:f>
        <x:v>0</x:v>
      </x:c>
      <x:c r="L153" s="13" t="n">
        <x:f>I153/D153</x:f>
        <x:v>14.354060913705585</x:v>
      </x:c>
      <x:c r="M153" s="6" t="str">
        <x:v>Included</x:v>
      </x:c>
    </x:row>
    <x:row r="154" ht="23" customHeight="1">
      <x:c r="B154" s="12" t="str">
        <x:v>7174</x:v>
      </x:c>
      <x:c r="C154" s="6" t="str">
        <x:v>Bloor St W / Dundas St W</x:v>
      </x:c>
      <x:c r="D154" s="6" t="n">
        <x:v>789</x:v>
      </x:c>
      <x:c r="E154" s="6" t="n">
        <x:v>788</x:v>
      </x:c>
      <x:c r="F154" s="6" t="n">
        <x:v>1</x:v>
      </x:c>
      <x:c r="G154" s="6" t="n">
        <x:v>11</x:v>
      </x:c>
      <x:c r="H154" s="6" t="n">
        <x:v>114</x:v>
      </x:c>
      <x:c r="I154" s="6" t="n">
        <x:v>7389</x:v>
      </x:c>
      <x:c r="J154" s="11" t="n">
        <x:f>E154/D154</x:f>
        <x:v>0.9987325728770595</x:v>
      </x:c>
      <x:c r="K154" s="11" t="n">
        <x:f>F154/D154</x:f>
        <x:v>0.0012674271229404308</x:v>
      </x:c>
      <x:c r="L154" s="13" t="n">
        <x:f>I154/D154</x:f>
        <x:v>9.365019011406844</x:v>
      </x:c>
      <x:c r="M154" s="6" t="str">
        <x:v>Included</x:v>
      </x:c>
    </x:row>
    <x:row r="155" ht="23" customHeight="1">
      <x:c r="B155" s="12" t="str">
        <x:v>7175</x:v>
      </x:c>
      <x:c r="C155" s="6" t="str">
        <x:v>HTO Park (Queens Quay W)</x:v>
      </x:c>
      <x:c r="D155" s="6" t="n">
        <x:v>785</x:v>
      </x:c>
      <x:c r="E155" s="6" t="n">
        <x:v>759</x:v>
      </x:c>
      <x:c r="F155" s="6" t="n">
        <x:v>26</x:v>
      </x:c>
      <x:c r="G155" s="6" t="n">
        <x:v>11</x:v>
      </x:c>
      <x:c r="H155" s="6" t="n">
        <x:v>115</x:v>
      </x:c>
      <x:c r="I155" s="6" t="n">
        <x:v>8270</x:v>
      </x:c>
      <x:c r="J155" s="11" t="n">
        <x:f>E155/D155</x:f>
        <x:v>0.9668789808917198</x:v>
      </x:c>
      <x:c r="K155" s="11" t="n">
        <x:f>F155/D155</x:f>
        <x:v>0.033121019108280254</x:v>
      </x:c>
      <x:c r="L155" s="13" t="n">
        <x:f>I155/D155</x:f>
        <x:v>10.535031847133759</x:v>
      </x:c>
      <x:c r="M155" s="6" t="str">
        <x:v>Included</x:v>
      </x:c>
    </x:row>
    <x:row r="156" ht="23" customHeight="1">
      <x:c r="B156" s="12" t="str">
        <x:v>7176</x:v>
      </x:c>
      <x:c r="C156" s="6" t="str">
        <x:v>Bathurst St / Fort York Blvd</x:v>
      </x:c>
      <x:c r="D156" s="6" t="n">
        <x:v>782</x:v>
      </x:c>
      <x:c r="E156" s="6" t="n">
        <x:v>663</x:v>
      </x:c>
      <x:c r="F156" s="6" t="n">
        <x:v>119</x:v>
      </x:c>
      <x:c r="G156" s="6" t="n">
        <x:v>11</x:v>
      </x:c>
      <x:c r="H156" s="6" t="n">
        <x:v>115</x:v>
      </x:c>
      <x:c r="I156" s="6" t="n">
        <x:v>6145</x:v>
      </x:c>
      <x:c r="J156" s="11" t="n">
        <x:f>E156/D156</x:f>
        <x:v>0.8478260869565217</x:v>
      </x:c>
      <x:c r="K156" s="11" t="n">
        <x:f>F156/D156</x:f>
        <x:v>0.15217391304347827</x:v>
      </x:c>
      <x:c r="L156" s="13" t="n">
        <x:f>I156/D156</x:f>
        <x:v>7.858056265984655</x:v>
      </x:c>
      <x:c r="M156" s="6" t="str">
        <x:v>Included</x:v>
      </x:c>
    </x:row>
    <x:row r="157" ht="23" customHeight="1">
      <x:c r="B157" s="12" t="str">
        <x:v>7178</x:v>
      </x:c>
      <x:c r="C157" s="6" t="str">
        <x:v>Dundas St W / Edna Ave</x:v>
      </x:c>
      <x:c r="D157" s="6" t="n">
        <x:v>787</x:v>
      </x:c>
      <x:c r="E157" s="6" t="n">
        <x:v>787</x:v>
      </x:c>
      <x:c r="F157" s="6" t="n">
        <x:v>0</x:v>
      </x:c>
      <x:c r="G157" s="6" t="n">
        <x:v>11</x:v>
      </x:c>
      <x:c r="H157" s="6" t="n">
        <x:v>114</x:v>
      </x:c>
      <x:c r="I157" s="6" t="n">
        <x:v>7522</x:v>
      </x:c>
      <x:c r="J157" s="11" t="n">
        <x:f>E157/D157</x:f>
        <x:v>1</x:v>
      </x:c>
      <x:c r="K157" s="11" t="n">
        <x:f>F157/D157</x:f>
        <x:v>0</x:v>
      </x:c>
      <x:c r="L157" s="13" t="n">
        <x:f>I157/D157</x:f>
        <x:v>9.557814485387548</x:v>
      </x:c>
      <x:c r="M157" s="6" t="str">
        <x:v>Included</x:v>
      </x:c>
    </x:row>
    <x:row r="158" ht="23" customHeight="1">
      <x:c r="B158" s="12" t="str">
        <x:v>7180</x:v>
      </x:c>
      <x:c r="C158" s="6" t="str">
        <x:v>Lansdowne Subway Station</x:v>
      </x:c>
      <x:c r="D158" s="6" t="n">
        <x:v>779</x:v>
      </x:c>
      <x:c r="E158" s="6" t="n">
        <x:v>744</x:v>
      </x:c>
      <x:c r="F158" s="6" t="n">
        <x:v>35</x:v>
      </x:c>
      <x:c r="G158" s="6" t="n">
        <x:v>11</x:v>
      </x:c>
      <x:c r="H158" s="6" t="n">
        <x:v>114</x:v>
      </x:c>
      <x:c r="I158" s="6" t="n">
        <x:v>6496</x:v>
      </x:c>
      <x:c r="J158" s="11" t="n">
        <x:f>E158/D158</x:f>
        <x:v>0.9550706033376123</x:v>
      </x:c>
      <x:c r="K158" s="11" t="n">
        <x:f>F158/D158</x:f>
        <x:v>0.044929396662387676</x:v>
      </x:c>
      <x:c r="L158" s="13" t="n">
        <x:f>I158/D158</x:f>
        <x:v>8.338896020539153</x:v>
      </x:c>
      <x:c r="M158" s="6" t="str">
        <x:v>Included</x:v>
      </x:c>
    </x:row>
    <x:row r="159" ht="23" customHeight="1">
      <x:c r="B159" s="12" t="str">
        <x:v>7181</x:v>
      </x:c>
      <x:c r="C159" s="6" t="str">
        <x:v>Lansdowne Ave / Whytock Ave</x:v>
      </x:c>
      <x:c r="D159" s="6" t="n">
        <x:v>790</x:v>
      </x:c>
      <x:c r="E159" s="6" t="n">
        <x:v>790</x:v>
      </x:c>
      <x:c r="F159" s="6" t="n">
        <x:v>0</x:v>
      </x:c>
      <x:c r="G159" s="6" t="n">
        <x:v>11</x:v>
      </x:c>
      <x:c r="H159" s="6" t="n">
        <x:v>115</x:v>
      </x:c>
      <x:c r="I159" s="6" t="n">
        <x:v>8644</x:v>
      </x:c>
      <x:c r="J159" s="11" t="n">
        <x:f>E159/D159</x:f>
        <x:v>1</x:v>
      </x:c>
      <x:c r="K159" s="11" t="n">
        <x:f>F159/D159</x:f>
        <x:v>0</x:v>
      </x:c>
      <x:c r="L159" s="13" t="n">
        <x:f>I159/D159</x:f>
        <x:v>10.941772151898734</x:v>
      </x:c>
      <x:c r="M159" s="6" t="str">
        <x:v>Included</x:v>
      </x:c>
    </x:row>
    <x:row r="160" ht="23" customHeight="1">
      <x:c r="B160" s="12" t="str">
        <x:v>7182</x:v>
      </x:c>
      <x:c r="C160" s="6" t="str">
        <x:v>Sterling Rd / Dundas St W</x:v>
      </x:c>
      <x:c r="D160" s="6" t="n">
        <x:v>790</x:v>
      </x:c>
      <x:c r="E160" s="6" t="n">
        <x:v>787</x:v>
      </x:c>
      <x:c r="F160" s="6" t="n">
        <x:v>3</x:v>
      </x:c>
      <x:c r="G160" s="6" t="n">
        <x:v>11</x:v>
      </x:c>
      <x:c r="H160" s="6" t="n">
        <x:v>114</x:v>
      </x:c>
      <x:c r="I160" s="6" t="n">
        <x:v>13004</x:v>
      </x:c>
      <x:c r="J160" s="11" t="n">
        <x:f>E160/D160</x:f>
        <x:v>0.9962025316455696</x:v>
      </x:c>
      <x:c r="K160" s="11" t="n">
        <x:f>F160/D160</x:f>
        <x:v>0.0037974683544303796</x:v>
      </x:c>
      <x:c r="L160" s="13" t="n">
        <x:f>I160/D160</x:f>
        <x:v>16.460759493670885</x:v>
      </x:c>
      <x:c r="M160" s="6" t="str">
        <x:v>Included</x:v>
      </x:c>
    </x:row>
    <x:row r="161" ht="23" customHeight="1">
      <x:c r="B161" s="12" t="str">
        <x:v>7183</x:v>
      </x:c>
      <x:c r="C161" s="6" t="str">
        <x:v>St Clarens Ave / College St</x:v>
      </x:c>
      <x:c r="D161" s="6" t="n">
        <x:v>786</x:v>
      </x:c>
      <x:c r="E161" s="6" t="n">
        <x:v>784</x:v>
      </x:c>
      <x:c r="F161" s="6" t="n">
        <x:v>2</x:v>
      </x:c>
      <x:c r="G161" s="6" t="n">
        <x:v>11</x:v>
      </x:c>
      <x:c r="H161" s="6" t="n">
        <x:v>115</x:v>
      </x:c>
      <x:c r="I161" s="6" t="n">
        <x:v>6290</x:v>
      </x:c>
      <x:c r="J161" s="11" t="n">
        <x:f>E161/D161</x:f>
        <x:v>0.9974554707379135</x:v>
      </x:c>
      <x:c r="K161" s="11" t="n">
        <x:f>F161/D161</x:f>
        <x:v>0.002544529262086514</x:v>
      </x:c>
      <x:c r="L161" s="13" t="n">
        <x:f>I161/D161</x:f>
        <x:v>8.002544529262087</x:v>
      </x:c>
      <x:c r="M161" s="6" t="str">
        <x:v>Included</x:v>
      </x:c>
    </x:row>
    <x:row r="162" ht="23" customHeight="1">
      <x:c r="B162" s="12" t="str">
        <x:v>7184</x:v>
      </x:c>
      <x:c r="C162" s="6" t="str">
        <x:v>Ossington Ave / College St</x:v>
      </x:c>
      <x:c r="D162" s="6" t="n">
        <x:v>783</x:v>
      </x:c>
      <x:c r="E162" s="6" t="n">
        <x:v>679</x:v>
      </x:c>
      <x:c r="F162" s="6" t="n">
        <x:v>104</x:v>
      </x:c>
      <x:c r="G162" s="6" t="n">
        <x:v>11</x:v>
      </x:c>
      <x:c r="H162" s="6" t="n">
        <x:v>114</x:v>
      </x:c>
      <x:c r="I162" s="6" t="n">
        <x:v>4107</x:v>
      </x:c>
      <x:c r="J162" s="11" t="n">
        <x:f>E162/D162</x:f>
        <x:v>0.8671775223499362</x:v>
      </x:c>
      <x:c r="K162" s="11" t="n">
        <x:f>F162/D162</x:f>
        <x:v>0.13282247765006386</x:v>
      </x:c>
      <x:c r="L162" s="13" t="n">
        <x:f>I162/D162</x:f>
        <x:v>5.245210727969349</x:v>
      </x:c>
      <x:c r="M162" s="6" t="str">
        <x:v>Included</x:v>
      </x:c>
    </x:row>
    <x:row r="163" ht="23" customHeight="1">
      <x:c r="B163" s="12" t="str">
        <x:v>7188</x:v>
      </x:c>
      <x:c r="C163" s="6" t="str">
        <x:v>Atlantic Ave / Liberty St</x:v>
      </x:c>
      <x:c r="D163" s="6" t="n">
        <x:v>789</x:v>
      </x:c>
      <x:c r="E163" s="6" t="n">
        <x:v>740</x:v>
      </x:c>
      <x:c r="F163" s="6" t="n">
        <x:v>49</x:v>
      </x:c>
      <x:c r="G163" s="6" t="n">
        <x:v>11</x:v>
      </x:c>
      <x:c r="H163" s="6" t="n">
        <x:v>116</x:v>
      </x:c>
      <x:c r="I163" s="6" t="n">
        <x:v>13283</x:v>
      </x:c>
      <x:c r="J163" s="11" t="n">
        <x:f>E163/D163</x:f>
        <x:v>0.9378960709759189</x:v>
      </x:c>
      <x:c r="K163" s="11" t="n">
        <x:f>F163/D163</x:f>
        <x:v>0.062103929024081114</x:v>
      </x:c>
      <x:c r="L163" s="13" t="n">
        <x:f>I163/D163</x:f>
        <x:v>16.835234474017746</x:v>
      </x:c>
      <x:c r="M163" s="6" t="str">
        <x:v>Included</x:v>
      </x:c>
    </x:row>
    <x:row r="164" ht="23" customHeight="1">
      <x:c r="B164" s="12" t="str">
        <x:v>7189</x:v>
      </x:c>
      <x:c r="C164" s="6" t="str">
        <x:v>Augusta Ave / Denison Sq</x:v>
      </x:c>
      <x:c r="D164" s="6" t="n">
        <x:v>792</x:v>
      </x:c>
      <x:c r="E164" s="6" t="n">
        <x:v>791</x:v>
      </x:c>
      <x:c r="F164" s="6" t="n">
        <x:v>1</x:v>
      </x:c>
      <x:c r="G164" s="6" t="n">
        <x:v>11</x:v>
      </x:c>
      <x:c r="H164" s="6" t="n">
        <x:v>115</x:v>
      </x:c>
      <x:c r="I164" s="6" t="n">
        <x:v>7099</x:v>
      </x:c>
      <x:c r="J164" s="11" t="n">
        <x:f>E164/D164</x:f>
        <x:v>0.9987373737373737</x:v>
      </x:c>
      <x:c r="K164" s="11" t="n">
        <x:f>F164/D164</x:f>
        <x:v>0.0012626262626262627</x:v>
      </x:c>
      <x:c r="L164" s="13" t="n">
        <x:f>I164/D164</x:f>
        <x:v>8.96338383838384</x:v>
      </x:c>
      <x:c r="M164" s="6" t="str">
        <x:v>Included</x:v>
      </x:c>
    </x:row>
    <x:row r="165" ht="23" customHeight="1">
      <x:c r="B165" s="12" t="str">
        <x:v>7190</x:v>
      </x:c>
      <x:c r="C165" s="6" t="str">
        <x:v>St. George St / Hoskin Ave</x:v>
      </x:c>
      <x:c r="D165" s="6" t="n">
        <x:v>783</x:v>
      </x:c>
      <x:c r="E165" s="6" t="n">
        <x:v>697</x:v>
      </x:c>
      <x:c r="F165" s="6" t="n">
        <x:v>86</x:v>
      </x:c>
      <x:c r="G165" s="6" t="n">
        <x:v>11</x:v>
      </x:c>
      <x:c r="H165" s="6" t="n">
        <x:v>114</x:v>
      </x:c>
      <x:c r="I165" s="6" t="n">
        <x:v>5733</x:v>
      </x:c>
      <x:c r="J165" s="11" t="n">
        <x:f>E165/D165</x:f>
        <x:v>0.8901660280970626</x:v>
      </x:c>
      <x:c r="K165" s="11" t="n">
        <x:f>F165/D165</x:f>
        <x:v>0.10983397190293742</x:v>
      </x:c>
      <x:c r="L165" s="13" t="n">
        <x:f>I165/D165</x:f>
        <x:v>7.32183908045977</x:v>
      </x:c>
      <x:c r="M165" s="6" t="str">
        <x:v>Included</x:v>
      </x:c>
    </x:row>
    <x:row r="166" ht="23" customHeight="1">
      <x:c r="B166" s="12" t="str">
        <x:v>7191</x:v>
      </x:c>
      <x:c r="C166" s="6" t="str">
        <x:v>Central Tech  (Harbord St)</x:v>
      </x:c>
      <x:c r="D166" s="6" t="n">
        <x:v>789</x:v>
      </x:c>
      <x:c r="E166" s="6" t="n">
        <x:v>781</x:v>
      </x:c>
      <x:c r="F166" s="6" t="n">
        <x:v>8</x:v>
      </x:c>
      <x:c r="G166" s="6" t="n">
        <x:v>11</x:v>
      </x:c>
      <x:c r="H166" s="6" t="n">
        <x:v>114</x:v>
      </x:c>
      <x:c r="I166" s="6" t="n">
        <x:v>5475</x:v>
      </x:c>
      <x:c r="J166" s="11" t="n">
        <x:f>E166/D166</x:f>
        <x:v>0.9898605830164765</x:v>
      </x:c>
      <x:c r="K166" s="11" t="n">
        <x:f>F166/D166</x:f>
        <x:v>0.010139416983523447</x:v>
      </x:c>
      <x:c r="L166" s="13" t="n">
        <x:f>I166/D166</x:f>
        <x:v>6.93916349809886</x:v>
      </x:c>
      <x:c r="M166" s="6" t="str">
        <x:v>Included</x:v>
      </x:c>
    </x:row>
    <x:row r="167" ht="23" customHeight="1">
      <x:c r="B167" s="12" t="str">
        <x:v>7192</x:v>
      </x:c>
      <x:c r="C167" s="6" t="str">
        <x:v>Harbord St / Clinton St</x:v>
      </x:c>
      <x:c r="D167" s="6" t="n">
        <x:v>787</x:v>
      </x:c>
      <x:c r="E167" s="6" t="n">
        <x:v>690</x:v>
      </x:c>
      <x:c r="F167" s="6" t="n">
        <x:v>97</x:v>
      </x:c>
      <x:c r="G167" s="6" t="n">
        <x:v>11</x:v>
      </x:c>
      <x:c r="H167" s="6" t="n">
        <x:v>115</x:v>
      </x:c>
      <x:c r="I167" s="6" t="n">
        <x:v>6962</x:v>
      </x:c>
      <x:c r="J167" s="11" t="n">
        <x:f>E167/D167</x:f>
        <x:v>0.8767471410419314</x:v>
      </x:c>
      <x:c r="K167" s="11" t="n">
        <x:f>F167/D167</x:f>
        <x:v>0.12325285895806862</x:v>
      </x:c>
      <x:c r="L167" s="13" t="n">
        <x:f>I167/D167</x:f>
        <x:v>8.846251588310038</x:v>
      </x:c>
      <x:c r="M167" s="6" t="str">
        <x:v>Included</x:v>
      </x:c>
    </x:row>
    <x:row r="168" ht="23" customHeight="1">
      <x:c r="B168" s="12" t="str">
        <x:v>7193</x:v>
      </x:c>
      <x:c r="C168" s="6" t="str">
        <x:v>Dufferin St / Queen St W</x:v>
      </x:c>
      <x:c r="D168" s="6" t="n">
        <x:v>784</x:v>
      </x:c>
      <x:c r="E168" s="6" t="n">
        <x:v>582</x:v>
      </x:c>
      <x:c r="F168" s="6" t="n">
        <x:v>202</x:v>
      </x:c>
      <x:c r="G168" s="6" t="n">
        <x:v>11</x:v>
      </x:c>
      <x:c r="H168" s="6" t="n">
        <x:v>114</x:v>
      </x:c>
      <x:c r="I168" s="6" t="n">
        <x:v>3263</x:v>
      </x:c>
      <x:c r="J168" s="11" t="n">
        <x:f>E168/D168</x:f>
        <x:v>0.7423469387755102</x:v>
      </x:c>
      <x:c r="K168" s="11" t="n">
        <x:f>F168/D168</x:f>
        <x:v>0.2576530612244898</x:v>
      </x:c>
      <x:c r="L168" s="13" t="n">
        <x:f>I168/D168</x:f>
        <x:v>4.161989795918367</x:v>
      </x:c>
      <x:c r="M168" s="6" t="str">
        <x:v>Included</x:v>
      </x:c>
    </x:row>
    <x:row r="169" ht="23" customHeight="1">
      <x:c r="B169" s="12" t="str">
        <x:v>7195</x:v>
      </x:c>
      <x:c r="C169" s="6" t="str">
        <x:v>Ulster St / Bathurst St</x:v>
      </x:c>
      <x:c r="D169" s="6" t="n">
        <x:v>790</x:v>
      </x:c>
      <x:c r="E169" s="6" t="n">
        <x:v>781</x:v>
      </x:c>
      <x:c r="F169" s="6" t="n">
        <x:v>9</x:v>
      </x:c>
      <x:c r="G169" s="6" t="n">
        <x:v>11</x:v>
      </x:c>
      <x:c r="H169" s="6" t="n">
        <x:v>114</x:v>
      </x:c>
      <x:c r="I169" s="6" t="n">
        <x:v>6007</x:v>
      </x:c>
      <x:c r="J169" s="11" t="n">
        <x:f>E169/D169</x:f>
        <x:v>0.9886075949367089</x:v>
      </x:c>
      <x:c r="K169" s="11" t="n">
        <x:f>F169/D169</x:f>
        <x:v>0.01139240506329114</x:v>
      </x:c>
      <x:c r="L169" s="13" t="n">
        <x:f>I169/D169</x:f>
        <x:v>7.60379746835443</x:v>
      </x:c>
      <x:c r="M169" s="6" t="str">
        <x:v>Included</x:v>
      </x:c>
    </x:row>
    <x:row r="170" ht="23" customHeight="1">
      <x:c r="B170" s="12" t="str">
        <x:v>7196</x:v>
      </x:c>
      <x:c r="C170" s="6" t="str">
        <x:v>Roxton Rd / Harbord St</x:v>
      </x:c>
      <x:c r="D170" s="6" t="n">
        <x:v>784</x:v>
      </x:c>
      <x:c r="E170" s="6" t="n">
        <x:v>766</x:v>
      </x:c>
      <x:c r="F170" s="6" t="n">
        <x:v>18</x:v>
      </x:c>
      <x:c r="G170" s="6" t="n">
        <x:v>11</x:v>
      </x:c>
      <x:c r="H170" s="6" t="n">
        <x:v>116</x:v>
      </x:c>
      <x:c r="I170" s="6" t="n">
        <x:v>4962</x:v>
      </x:c>
      <x:c r="J170" s="11" t="n">
        <x:f>E170/D170</x:f>
        <x:v>0.9770408163265306</x:v>
      </x:c>
      <x:c r="K170" s="11" t="n">
        <x:f>F170/D170</x:f>
        <x:v>0.02295918367346939</x:v>
      </x:c>
      <x:c r="L170" s="13" t="n">
        <x:f>I170/D170</x:f>
        <x:v>6.329081632653061</x:v>
      </x:c>
      <x:c r="M170" s="6" t="str">
        <x:v>Included</x:v>
      </x:c>
    </x:row>
    <x:row r="171" ht="23" customHeight="1">
      <x:c r="B171" s="12" t="str">
        <x:v>7198</x:v>
      </x:c>
      <x:c r="C171" s="6" t="str">
        <x:v>Queen St W / Cowan Ave</x:v>
      </x:c>
      <x:c r="D171" s="6" t="n">
        <x:v>787</x:v>
      </x:c>
      <x:c r="E171" s="6" t="n">
        <x:v>726</x:v>
      </x:c>
      <x:c r="F171" s="6" t="n">
        <x:v>61</x:v>
      </x:c>
      <x:c r="G171" s="6" t="n">
        <x:v>11</x:v>
      </x:c>
      <x:c r="H171" s="6" t="n">
        <x:v>114</x:v>
      </x:c>
      <x:c r="I171" s="6" t="n">
        <x:v>3128</x:v>
      </x:c>
      <x:c r="J171" s="11" t="n">
        <x:f>E171/D171</x:f>
        <x:v>0.9224904701397713</x:v>
      </x:c>
      <x:c r="K171" s="11" t="n">
        <x:f>F171/D171</x:f>
        <x:v>0.07750952986022872</x:v>
      </x:c>
      <x:c r="L171" s="13" t="n">
        <x:f>I171/D171</x:f>
        <x:v>3.974587039390089</x:v>
      </x:c>
      <x:c r="M171" s="6" t="str">
        <x:v>Included</x:v>
      </x:c>
    </x:row>
    <x:row r="172" ht="23" customHeight="1">
      <x:c r="B172" s="12" t="str">
        <x:v>7199</x:v>
      </x:c>
      <x:c r="C172" s="6" t="str">
        <x:v>College St / Markham St</x:v>
      </x:c>
      <x:c r="D172" s="6" t="n">
        <x:v>779</x:v>
      </x:c>
      <x:c r="E172" s="6" t="n">
        <x:v>770</x:v>
      </x:c>
      <x:c r="F172" s="6" t="n">
        <x:v>9</x:v>
      </x:c>
      <x:c r="G172" s="6" t="n">
        <x:v>11</x:v>
      </x:c>
      <x:c r="H172" s="6" t="n">
        <x:v>114</x:v>
      </x:c>
      <x:c r="I172" s="6" t="n">
        <x:v>9494</x:v>
      </x:c>
      <x:c r="J172" s="11" t="n">
        <x:f>E172/D172</x:f>
        <x:v>0.9884467265725289</x:v>
      </x:c>
      <x:c r="K172" s="11" t="n">
        <x:f>F172/D172</x:f>
        <x:v>0.011553273427471117</x:v>
      </x:c>
      <x:c r="L172" s="13" t="n">
        <x:f>I172/D172</x:f>
        <x:v>12.187419768934532</x:v>
      </x:c>
      <x:c r="M172" s="6" t="str">
        <x:v>Included</x:v>
      </x:c>
    </x:row>
    <x:row r="173" ht="23" customHeight="1">
      <x:c r="B173" s="12" t="str">
        <x:v>7202</x:v>
      </x:c>
      <x:c r="C173" s="6" t="str">
        <x:v>York St / Queen St W (City Hall)</x:v>
      </x:c>
      <x:c r="D173" s="6" t="n">
        <x:v>781</x:v>
      </x:c>
      <x:c r="E173" s="6" t="n">
        <x:v>744</x:v>
      </x:c>
      <x:c r="F173" s="6" t="n">
        <x:v>37</x:v>
      </x:c>
      <x:c r="G173" s="6" t="n">
        <x:v>11</x:v>
      </x:c>
      <x:c r="H173" s="6" t="n">
        <x:v>114</x:v>
      </x:c>
      <x:c r="I173" s="6" t="n">
        <x:v>13637</x:v>
      </x:c>
      <x:c r="J173" s="11" t="n">
        <x:f>E173/D173</x:f>
        <x:v>0.9526248399487837</x:v>
      </x:c>
      <x:c r="K173" s="11" t="n">
        <x:f>F173/D173</x:f>
        <x:v>0.04737516005121639</x:v>
      </x:c>
      <x:c r="L173" s="13" t="n">
        <x:f>I173/D173</x:f>
        <x:v>17.460947503201023</x:v>
      </x:c>
      <x:c r="M173" s="6" t="str">
        <x:v>Included</x:v>
      </x:c>
    </x:row>
    <x:row r="174" ht="23" customHeight="1">
      <x:c r="B174" s="12" t="str">
        <x:v>7203</x:v>
      </x:c>
      <x:c r="C174" s="6" t="str">
        <x:v>Bathurst St/Queens Quay(Billy Bishop Airport)</x:v>
      </x:c>
      <x:c r="D174" s="6" t="n">
        <x:v>777</x:v>
      </x:c>
      <x:c r="E174" s="6" t="n">
        <x:v>677</x:v>
      </x:c>
      <x:c r="F174" s="6" t="n">
        <x:v>100</x:v>
      </x:c>
      <x:c r="G174" s="6" t="n">
        <x:v>11</x:v>
      </x:c>
      <x:c r="H174" s="6" t="n">
        <x:v>114</x:v>
      </x:c>
      <x:c r="I174" s="6" t="n">
        <x:v>3566</x:v>
      </x:c>
      <x:c r="J174" s="11" t="n">
        <x:f>E174/D174</x:f>
        <x:v>0.8712998712998713</x:v>
      </x:c>
      <x:c r="K174" s="11" t="n">
        <x:f>F174/D174</x:f>
        <x:v>0.1287001287001287</x:v>
      </x:c>
      <x:c r="L174" s="13" t="n">
        <x:f>I174/D174</x:f>
        <x:v>4.589446589446589</x:v>
      </x:c>
      <x:c r="M174" s="6" t="str">
        <x:v>Included</x:v>
      </x:c>
    </x:row>
    <x:row r="175" ht="23" customHeight="1">
      <x:c r="B175" s="12" t="str">
        <x:v>7204</x:v>
      </x:c>
      <x:c r="C175" s="6" t="str">
        <x:v>College St / Crawford St</x:v>
      </x:c>
      <x:c r="D175" s="6" t="n">
        <x:v>785</x:v>
      </x:c>
      <x:c r="E175" s="6" t="n">
        <x:v>777</x:v>
      </x:c>
      <x:c r="F175" s="6" t="n">
        <x:v>8</x:v>
      </x:c>
      <x:c r="G175" s="6" t="n">
        <x:v>11</x:v>
      </x:c>
      <x:c r="H175" s="6" t="n">
        <x:v>114</x:v>
      </x:c>
      <x:c r="I175" s="6" t="n">
        <x:v>7816</x:v>
      </x:c>
      <x:c r="J175" s="11" t="n">
        <x:f>E175/D175</x:f>
        <x:v>0.9898089171974522</x:v>
      </x:c>
      <x:c r="K175" s="11" t="n">
        <x:f>F175/D175</x:f>
        <x:v>0.01019108280254777</x:v>
      </x:c>
      <x:c r="L175" s="13" t="n">
        <x:f>I175/D175</x:f>
        <x:v>9.956687898089172</x:v>
      </x:c>
      <x:c r="M175" s="6" t="str">
        <x:v>Included</x:v>
      </x:c>
    </x:row>
    <x:row r="176" ht="23" customHeight="1">
      <x:c r="B176" s="12" t="str">
        <x:v>7205</x:v>
      </x:c>
      <x:c r="C176" s="6" t="str">
        <x:v>Rusholme Park Cres / College St</x:v>
      </x:c>
      <x:c r="D176" s="6" t="n">
        <x:v>787</x:v>
      </x:c>
      <x:c r="E176" s="6" t="n">
        <x:v>704</x:v>
      </x:c>
      <x:c r="F176" s="6" t="n">
        <x:v>83</x:v>
      </x:c>
      <x:c r="G176" s="6" t="n">
        <x:v>11</x:v>
      </x:c>
      <x:c r="H176" s="6" t="n">
        <x:v>114</x:v>
      </x:c>
      <x:c r="I176" s="6" t="n">
        <x:v>5573</x:v>
      </x:c>
      <x:c r="J176" s="11" t="n">
        <x:f>E176/D176</x:f>
        <x:v>0.8945362134688691</x:v>
      </x:c>
      <x:c r="K176" s="11" t="n">
        <x:f>F176/D176</x:f>
        <x:v>0.10546378653113088</x:v>
      </x:c>
      <x:c r="L176" s="13" t="n">
        <x:f>I176/D176</x:f>
        <x:v>7.081321473951715</x:v>
      </x:c>
      <x:c r="M176" s="6" t="str">
        <x:v>Included</x:v>
      </x:c>
    </x:row>
    <x:row r="177" ht="23" customHeight="1">
      <x:c r="B177" s="12" t="str">
        <x:v>7206</x:v>
      </x:c>
      <x:c r="C177" s="6" t="str">
        <x:v>Claremont St / Dundas St W</x:v>
      </x:c>
      <x:c r="D177" s="6" t="n">
        <x:v>781</x:v>
      </x:c>
      <x:c r="E177" s="6" t="n">
        <x:v>711</x:v>
      </x:c>
      <x:c r="F177" s="6" t="n">
        <x:v>70</x:v>
      </x:c>
      <x:c r="G177" s="6" t="n">
        <x:v>11</x:v>
      </x:c>
      <x:c r="H177" s="6" t="n">
        <x:v>116</x:v>
      </x:c>
      <x:c r="I177" s="6" t="n">
        <x:v>5104</x:v>
      </x:c>
      <x:c r="J177" s="11" t="n">
        <x:f>E177/D177</x:f>
        <x:v>0.910371318822023</x:v>
      </x:c>
      <x:c r="K177" s="11" t="n">
        <x:f>F177/D177</x:f>
        <x:v>0.08962868117797695</x:v>
      </x:c>
      <x:c r="L177" s="13" t="n">
        <x:f>I177/D177</x:f>
        <x:v>6.535211267605634</x:v>
      </x:c>
      <x:c r="M177" s="6" t="str">
        <x:v>Included</x:v>
      </x:c>
    </x:row>
    <x:row r="178" ht="23" customHeight="1">
      <x:c r="B178" s="12" t="str">
        <x:v>7207</x:v>
      </x:c>
      <x:c r="C178" s="6" t="str">
        <x:v>Dundas St W / Crawford St</x:v>
      </x:c>
      <x:c r="D178" s="6" t="n">
        <x:v>793</x:v>
      </x:c>
      <x:c r="E178" s="6" t="n">
        <x:v>778</x:v>
      </x:c>
      <x:c r="F178" s="6" t="n">
        <x:v>15</x:v>
      </x:c>
      <x:c r="G178" s="6" t="n">
        <x:v>11</x:v>
      </x:c>
      <x:c r="H178" s="6" t="n">
        <x:v>114</x:v>
      </x:c>
      <x:c r="I178" s="6" t="n">
        <x:v>13117</x:v>
      </x:c>
      <x:c r="J178" s="11" t="n">
        <x:f>E178/D178</x:f>
        <x:v>0.9810844892812106</x:v>
      </x:c>
      <x:c r="K178" s="11" t="n">
        <x:f>F178/D178</x:f>
        <x:v>0.018915510718789406</x:v>
      </x:c>
      <x:c r="L178" s="13" t="n">
        <x:f>I178/D178</x:f>
        <x:v>16.540983606557376</x:v>
      </x:c>
      <x:c r="M178" s="6" t="str">
        <x:v>Included</x:v>
      </x:c>
    </x:row>
    <x:row r="179" ht="23" customHeight="1">
      <x:c r="B179" s="12" t="str">
        <x:v>7208</x:v>
      </x:c>
      <x:c r="C179" s="6" t="str">
        <x:v>80 Clinton St</x:v>
      </x:c>
      <x:c r="D179" s="6" t="n">
        <x:v>781</x:v>
      </x:c>
      <x:c r="E179" s="6" t="n">
        <x:v>765</x:v>
      </x:c>
      <x:c r="F179" s="6" t="n">
        <x:v>16</x:v>
      </x:c>
      <x:c r="G179" s="6" t="n">
        <x:v>11</x:v>
      </x:c>
      <x:c r="H179" s="6" t="n">
        <x:v>114</x:v>
      </x:c>
      <x:c r="I179" s="6" t="n">
        <x:v>6369</x:v>
      </x:c>
      <x:c r="J179" s="11" t="n">
        <x:f>E179/D179</x:f>
        <x:v>0.9795134443021767</x:v>
      </x:c>
      <x:c r="K179" s="11" t="n">
        <x:f>F179/D179</x:f>
        <x:v>0.020486555697823303</x:v>
      </x:c>
      <x:c r="L179" s="13" t="n">
        <x:f>I179/D179</x:f>
        <x:v>8.154929577464788</x:v>
      </x:c>
      <x:c r="M179" s="6" t="str">
        <x:v>Included</x:v>
      </x:c>
    </x:row>
    <x:row r="180" ht="23" customHeight="1">
      <x:c r="B180" s="12" t="str">
        <x:v>7209</x:v>
      </x:c>
      <x:c r="C180" s="6" t="str">
        <x:v>Ossington Ave / Harrison St</x:v>
      </x:c>
      <x:c r="D180" s="6" t="n">
        <x:v>777</x:v>
      </x:c>
      <x:c r="E180" s="6" t="n">
        <x:v>706</x:v>
      </x:c>
      <x:c r="F180" s="6" t="n">
        <x:v>71</x:v>
      </x:c>
      <x:c r="G180" s="6" t="n">
        <x:v>11</x:v>
      </x:c>
      <x:c r="H180" s="6" t="n">
        <x:v>112</x:v>
      </x:c>
      <x:c r="I180" s="6" t="n">
        <x:v>5347</x:v>
      </x:c>
      <x:c r="J180" s="11" t="n">
        <x:f>E180/D180</x:f>
        <x:v>0.9086229086229086</x:v>
      </x:c>
      <x:c r="K180" s="11" t="n">
        <x:f>F180/D180</x:f>
        <x:v>0.09137709137709138</x:v>
      </x:c>
      <x:c r="L180" s="13" t="n">
        <x:f>I180/D180</x:f>
        <x:v>6.8815958815958815</x:v>
      </x:c>
      <x:c r="M180" s="6" t="str">
        <x:v>Included</x:v>
      </x:c>
    </x:row>
    <x:row r="181" ht="23" customHeight="1">
      <x:c r="B181" s="12" t="str">
        <x:v>7210</x:v>
      </x:c>
      <x:c r="C181" s="6" t="str">
        <x:v>Mary McCormick Rec Centre (Sheridan Ave)</x:v>
      </x:c>
      <x:c r="D181" s="6" t="n">
        <x:v>787</x:v>
      </x:c>
      <x:c r="E181" s="6" t="n">
        <x:v>750</x:v>
      </x:c>
      <x:c r="F181" s="6" t="n">
        <x:v>37</x:v>
      </x:c>
      <x:c r="G181" s="6" t="n">
        <x:v>11</x:v>
      </x:c>
      <x:c r="H181" s="6" t="n">
        <x:v>114</x:v>
      </x:c>
      <x:c r="I181" s="6" t="n">
        <x:v>3919</x:v>
      </x:c>
      <x:c r="J181" s="11" t="n">
        <x:f>E181/D181</x:f>
        <x:v>0.9529860228716646</x:v>
      </x:c>
      <x:c r="K181" s="11" t="n">
        <x:f>F181/D181</x:f>
        <x:v>0.04701397712833545</x:v>
      </x:c>
      <x:c r="L181" s="13" t="n">
        <x:f>I181/D181</x:f>
        <x:v>4.979669631512071</x:v>
      </x:c>
      <x:c r="M181" s="6" t="str">
        <x:v>Included</x:v>
      </x:c>
    </x:row>
    <x:row r="182" ht="23" customHeight="1">
      <x:c r="B182" s="12" t="str">
        <x:v>7211</x:v>
      </x:c>
      <x:c r="C182" s="6" t="str">
        <x:v>Fort York Blvd / Garrison Rd</x:v>
      </x:c>
      <x:c r="D182" s="6" t="n">
        <x:v>794</x:v>
      </x:c>
      <x:c r="E182" s="6" t="n">
        <x:v>562</x:v>
      </x:c>
      <x:c r="F182" s="6" t="n">
        <x:v>232</x:v>
      </x:c>
      <x:c r="G182" s="6" t="n">
        <x:v>11</x:v>
      </x:c>
      <x:c r="H182" s="6" t="n">
        <x:v>115</x:v>
      </x:c>
      <x:c r="I182" s="6" t="n">
        <x:v>2998</x:v>
      </x:c>
      <x:c r="J182" s="11" t="n">
        <x:f>E182/D182</x:f>
        <x:v>0.707808564231738</x:v>
      </x:c>
      <x:c r="K182" s="11" t="n">
        <x:f>F182/D182</x:f>
        <x:v>0.29219143576826195</x:v>
      </x:c>
      <x:c r="L182" s="13" t="n">
        <x:f>I182/D182</x:f>
        <x:v>3.7758186397984885</x:v>
      </x:c>
      <x:c r="M182" s="6" t="str">
        <x:v>Included</x:v>
      </x:c>
    </x:row>
    <x:row r="183" ht="23" customHeight="1">
      <x:c r="B183" s="12" t="str">
        <x:v>7216</x:v>
      </x:c>
      <x:c r="C183" s="6" t="str">
        <x:v>Ordnance Park</x:v>
      </x:c>
      <x:c r="D183" s="6" t="n">
        <x:v>782</x:v>
      </x:c>
      <x:c r="E183" s="6" t="n">
        <x:v>584</x:v>
      </x:c>
      <x:c r="F183" s="6" t="n">
        <x:v>198</x:v>
      </x:c>
      <x:c r="G183" s="6" t="n">
        <x:v>11</x:v>
      </x:c>
      <x:c r="H183" s="6" t="n">
        <x:v>115</x:v>
      </x:c>
      <x:c r="I183" s="6" t="n">
        <x:v>5744</x:v>
      </x:c>
      <x:c r="J183" s="11" t="n">
        <x:f>E183/D183</x:f>
        <x:v>0.7468030690537084</x:v>
      </x:c>
      <x:c r="K183" s="11" t="n">
        <x:f>F183/D183</x:f>
        <x:v>0.2531969309462916</x:v>
      </x:c>
      <x:c r="L183" s="13" t="n">
        <x:f>I183/D183</x:f>
        <x:v>7.345268542199489</x:v>
      </x:c>
      <x:c r="M183" s="6" t="str">
        <x:v>Included</x:v>
      </x:c>
    </x:row>
    <x:row r="184" ht="23" customHeight="1">
      <x:c r="B184" s="12" t="str">
        <x:v>7217</x:v>
      </x:c>
      <x:c r="C184" s="6" t="str">
        <x:v>Soho St / Queen St W</x:v>
      </x:c>
      <x:c r="D184" s="6" t="n">
        <x:v>788</x:v>
      </x:c>
      <x:c r="E184" s="6" t="n">
        <x:v>672</x:v>
      </x:c>
      <x:c r="F184" s="6" t="n">
        <x:v>116</x:v>
      </x:c>
      <x:c r="G184" s="6" t="n">
        <x:v>11</x:v>
      </x:c>
      <x:c r="H184" s="6" t="n">
        <x:v>114</x:v>
      </x:c>
      <x:c r="I184" s="6" t="n">
        <x:v>3568</x:v>
      </x:c>
      <x:c r="J184" s="11" t="n">
        <x:f>E184/D184</x:f>
        <x:v>0.8527918781725888</x:v>
      </x:c>
      <x:c r="K184" s="11" t="n">
        <x:f>F184/D184</x:f>
        <x:v>0.14720812182741116</x:v>
      </x:c>
      <x:c r="L184" s="13" t="n">
        <x:f>I184/D184</x:f>
        <x:v>4.527918781725888</x:v>
      </x:c>
      <x:c r="M184" s="6" t="str">
        <x:v>Included</x:v>
      </x:c>
    </x:row>
    <x:row r="185" ht="23" customHeight="1">
      <x:c r="B185" s="12" t="str">
        <x:v>7220</x:v>
      </x:c>
      <x:c r="C185" s="6" t="str">
        <x:v>Lake Shore Blvd W / Ellis Ave</x:v>
      </x:c>
      <x:c r="D185" s="6" t="n">
        <x:v>786</x:v>
      </x:c>
      <x:c r="E185" s="6" t="n">
        <x:v>411</x:v>
      </x:c>
      <x:c r="F185" s="6" t="n">
        <x:v>375</x:v>
      </x:c>
      <x:c r="G185" s="6" t="n">
        <x:v>11</x:v>
      </x:c>
      <x:c r="H185" s="6" t="n">
        <x:v>114</x:v>
      </x:c>
      <x:c r="I185" s="6" t="n">
        <x:v>1285</x:v>
      </x:c>
      <x:c r="J185" s="11" t="n">
        <x:f>E185/D185</x:f>
        <x:v>0.5229007633587787</x:v>
      </x:c>
      <x:c r="K185" s="11" t="n">
        <x:f>F185/D185</x:f>
        <x:v>0.4770992366412214</x:v>
      </x:c>
      <x:c r="L185" s="13" t="n">
        <x:f>I185/D185</x:f>
        <x:v>1.6348600508905853</x:v>
      </x:c>
      <x:c r="M185" s="6" t="str">
        <x:v>Included</x:v>
      </x:c>
    </x:row>
    <x:row r="186" ht="23" customHeight="1">
      <x:c r="B186" s="12" t="str">
        <x:v>7221</x:v>
      </x:c>
      <x:c r="C186" s="6" t="str">
        <x:v>High Park Subway Station</x:v>
      </x:c>
      <x:c r="D186" s="6" t="n">
        <x:v>784</x:v>
      </x:c>
      <x:c r="E186" s="6" t="n">
        <x:v>784</x:v>
      </x:c>
      <x:c r="F186" s="6" t="n">
        <x:v>0</x:v>
      </x:c>
      <x:c r="G186" s="6" t="n">
        <x:v>11</x:v>
      </x:c>
      <x:c r="H186" s="6" t="n">
        <x:v>114</x:v>
      </x:c>
      <x:c r="I186" s="6" t="n">
        <x:v>7302</x:v>
      </x:c>
      <x:c r="J186" s="11" t="n">
        <x:f>E186/D186</x:f>
        <x:v>1</x:v>
      </x:c>
      <x:c r="K186" s="11" t="n">
        <x:f>F186/D186</x:f>
        <x:v>0</x:v>
      </x:c>
      <x:c r="L186" s="13" t="n">
        <x:f>I186/D186</x:f>
        <x:v>9.313775510204081</x:v>
      </x:c>
      <x:c r="M186" s="6" t="str">
        <x:v>Included</x:v>
      </x:c>
    </x:row>
    <x:row r="187" ht="23" customHeight="1">
      <x:c r="B187" s="12" t="str">
        <x:v>7222</x:v>
      </x:c>
      <x:c r="C187" s="6" t="str">
        <x:v>Sunnyside - Gus Ryder Pool</x:v>
      </x:c>
      <x:c r="D187" s="6" t="n">
        <x:v>781</x:v>
      </x:c>
      <x:c r="E187" s="6" t="n">
        <x:v>684</x:v>
      </x:c>
      <x:c r="F187" s="6" t="n">
        <x:v>97</x:v>
      </x:c>
      <x:c r="G187" s="6" t="n">
        <x:v>11</x:v>
      </x:c>
      <x:c r="H187" s="6" t="n">
        <x:v>115</x:v>
      </x:c>
      <x:c r="I187" s="6" t="n">
        <x:v>5684</x:v>
      </x:c>
      <x:c r="J187" s="11" t="n">
        <x:f>E187/D187</x:f>
        <x:v>0.8758002560819462</x:v>
      </x:c>
      <x:c r="K187" s="11" t="n">
        <x:f>F187/D187</x:f>
        <x:v>0.12419974391805377</x:v>
      </x:c>
      <x:c r="L187" s="13" t="n">
        <x:f>I187/D187</x:f>
        <x:v>7.277848911651729</x:v>
      </x:c>
      <x:c r="M187" s="6" t="str">
        <x:v>Included</x:v>
      </x:c>
    </x:row>
    <x:row r="188" ht="23" customHeight="1">
      <x:c r="B188" s="12" t="str">
        <x:v>7223</x:v>
      </x:c>
      <x:c r="C188" s="6" t="str">
        <x:v>Parkside Dr / Bloor St W - SMART</x:v>
      </x:c>
      <x:c r="D188" s="6" t="n">
        <x:v>786</x:v>
      </x:c>
      <x:c r="E188" s="6" t="n">
        <x:v>731</x:v>
      </x:c>
      <x:c r="F188" s="6" t="n">
        <x:v>55</x:v>
      </x:c>
      <x:c r="G188" s="6" t="n">
        <x:v>11</x:v>
      </x:c>
      <x:c r="H188" s="6" t="n">
        <x:v>116</x:v>
      </x:c>
      <x:c r="I188" s="6" t="n">
        <x:v>4919</x:v>
      </x:c>
      <x:c r="J188" s="11" t="n">
        <x:f>E188/D188</x:f>
        <x:v>0.9300254452926209</x:v>
      </x:c>
      <x:c r="K188" s="11" t="n">
        <x:f>F188/D188</x:f>
        <x:v>0.06997455470737914</x:v>
      </x:c>
      <x:c r="L188" s="13" t="n">
        <x:f>I188/D188</x:f>
        <x:v>6.258269720101781</x:v>
      </x:c>
      <x:c r="M188" s="6" t="str">
        <x:v>Included</x:v>
      </x:c>
    </x:row>
    <x:row r="189" ht="23" customHeight="1">
      <x:c r="B189" s="12" t="str">
        <x:v>7224</x:v>
      </x:c>
      <x:c r="C189" s="6" t="str">
        <x:v>Bloor St W / High Park Ave (High Park)</x:v>
      </x:c>
      <x:c r="D189" s="6" t="n">
        <x:v>782</x:v>
      </x:c>
      <x:c r="E189" s="6" t="n">
        <x:v>782</x:v>
      </x:c>
      <x:c r="F189" s="6" t="n">
        <x:v>0</x:v>
      </x:c>
      <x:c r="G189" s="6" t="n">
        <x:v>11</x:v>
      </x:c>
      <x:c r="H189" s="6" t="n">
        <x:v>114</x:v>
      </x:c>
      <x:c r="I189" s="6" t="n">
        <x:v>14619</x:v>
      </x:c>
      <x:c r="J189" s="11" t="n">
        <x:f>E189/D189</x:f>
        <x:v>1</x:v>
      </x:c>
      <x:c r="K189" s="11" t="n">
        <x:f>F189/D189</x:f>
        <x:v>0</x:v>
      </x:c>
      <x:c r="L189" s="13" t="n">
        <x:f>I189/D189</x:f>
        <x:v>18.694373401534527</x:v>
      </x:c>
      <x:c r="M189" s="6" t="str">
        <x:v>Included</x:v>
      </x:c>
    </x:row>
    <x:row r="190" ht="23" customHeight="1">
      <x:c r="B190" s="12" t="str">
        <x:v>7225</x:v>
      </x:c>
      <x:c r="C190" s="6" t="str">
        <x:v>Lake Shore Blvd W / Windermere Ave</x:v>
      </x:c>
      <x:c r="D190" s="6" t="n">
        <x:v>781</x:v>
      </x:c>
      <x:c r="E190" s="6" t="n">
        <x:v>621</x:v>
      </x:c>
      <x:c r="F190" s="6" t="n">
        <x:v>160</x:v>
      </x:c>
      <x:c r="G190" s="6" t="n">
        <x:v>11</x:v>
      </x:c>
      <x:c r="H190" s="6" t="n">
        <x:v>115</x:v>
      </x:c>
      <x:c r="I190" s="6" t="n">
        <x:v>3326</x:v>
      </x:c>
      <x:c r="J190" s="11" t="n">
        <x:f>E190/D190</x:f>
        <x:v>0.795134443021767</x:v>
      </x:c>
      <x:c r="K190" s="11" t="n">
        <x:f>F190/D190</x:f>
        <x:v>0.20486555697823303</x:v>
      </x:c>
      <x:c r="L190" s="13" t="n">
        <x:f>I190/D190</x:f>
        <x:v>4.258642765685019</x:v>
      </x:c>
      <x:c r="M190" s="6" t="str">
        <x:v>Included</x:v>
      </x:c>
    </x:row>
    <x:row r="191" ht="23" customHeight="1">
      <x:c r="B191" s="12" t="str">
        <x:v>7226</x:v>
      </x:c>
      <x:c r="C191" s="6" t="str">
        <x:v>Lake Shore Blvd W / The Boulevard Club</x:v>
      </x:c>
      <x:c r="D191" s="6" t="n">
        <x:v>792</x:v>
      </x:c>
      <x:c r="E191" s="6" t="n">
        <x:v>748</x:v>
      </x:c>
      <x:c r="F191" s="6" t="n">
        <x:v>44</x:v>
      </x:c>
      <x:c r="G191" s="6" t="n">
        <x:v>11</x:v>
      </x:c>
      <x:c r="H191" s="6" t="n">
        <x:v>115</x:v>
      </x:c>
      <x:c r="I191" s="6" t="n">
        <x:v>9357</x:v>
      </x:c>
      <x:c r="J191" s="11" t="n">
        <x:f>E191/D191</x:f>
        <x:v>0.9444444444444444</x:v>
      </x:c>
      <x:c r="K191" s="11" t="n">
        <x:f>F191/D191</x:f>
        <x:v>0.05555555555555555</x:v>
      </x:c>
      <x:c r="L191" s="13" t="n">
        <x:f>I191/D191</x:f>
        <x:v>11.81439393939394</x:v>
      </x:c>
      <x:c r="M191" s="6" t="str">
        <x:v>Included</x:v>
      </x:c>
    </x:row>
    <x:row r="192" ht="23" customHeight="1">
      <x:c r="B192" s="12" t="str">
        <x:v>7227</x:v>
      </x:c>
      <x:c r="C192" s="6" t="str">
        <x:v>Martin Goodman Trail (Marilyn Bell Park)</x:v>
      </x:c>
      <x:c r="D192" s="6" t="n">
        <x:v>784</x:v>
      </x:c>
      <x:c r="E192" s="6" t="n">
        <x:v>784</x:v>
      </x:c>
      <x:c r="F192" s="6" t="n">
        <x:v>0</x:v>
      </x:c>
      <x:c r="G192" s="6" t="n">
        <x:v>11</x:v>
      </x:c>
      <x:c r="H192" s="6" t="n">
        <x:v>114</x:v>
      </x:c>
      <x:c r="I192" s="6" t="n">
        <x:v>16685</x:v>
      </x:c>
      <x:c r="J192" s="11" t="n">
        <x:f>E192/D192</x:f>
        <x:v>1</x:v>
      </x:c>
      <x:c r="K192" s="11" t="n">
        <x:f>F192/D192</x:f>
        <x:v>0</x:v>
      </x:c>
      <x:c r="L192" s="13" t="n">
        <x:f>I192/D192</x:f>
        <x:v>21.28188775510204</x:v>
      </x:c>
      <x:c r="M192" s="6" t="str">
        <x:v>Included</x:v>
      </x:c>
    </x:row>
    <x:row r="193" ht="23" customHeight="1">
      <x:c r="B193" s="12" t="str">
        <x:v>7228</x:v>
      </x:c>
      <x:c r="C193" s="6" t="str">
        <x:v>King St W / Wilson Park Blvd</x:v>
      </x:c>
      <x:c r="D193" s="6" t="n">
        <x:v>785</x:v>
      </x:c>
      <x:c r="E193" s="6" t="n">
        <x:v>528</x:v>
      </x:c>
      <x:c r="F193" s="6" t="n">
        <x:v>257</x:v>
      </x:c>
      <x:c r="G193" s="6" t="n">
        <x:v>11</x:v>
      </x:c>
      <x:c r="H193" s="6" t="n">
        <x:v>115</x:v>
      </x:c>
      <x:c r="I193" s="6" t="n">
        <x:v>1085</x:v>
      </x:c>
      <x:c r="J193" s="11" t="n">
        <x:f>E193/D193</x:f>
        <x:v>0.6726114649681528</x:v>
      </x:c>
      <x:c r="K193" s="11" t="n">
        <x:f>F193/D193</x:f>
        <x:v>0.3273885350318471</x:v>
      </x:c>
      <x:c r="L193" s="13" t="n">
        <x:f>I193/D193</x:f>
        <x:v>1.3821656050955413</x:v>
      </x:c>
      <x:c r="M193" s="6" t="str">
        <x:v>Included</x:v>
      </x:c>
    </x:row>
    <x:row r="194" ht="23" customHeight="1">
      <x:c r="B194" s="12" t="str">
        <x:v>7229</x:v>
      </x:c>
      <x:c r="C194" s="6" t="str">
        <x:v>2201 Dundas St W</x:v>
      </x:c>
      <x:c r="D194" s="6" t="n">
        <x:v>793</x:v>
      </x:c>
      <x:c r="E194" s="6" t="n">
        <x:v>718</x:v>
      </x:c>
      <x:c r="F194" s="6" t="n">
        <x:v>75</x:v>
      </x:c>
      <x:c r="G194" s="6" t="n">
        <x:v>11</x:v>
      </x:c>
      <x:c r="H194" s="6" t="n">
        <x:v>114</x:v>
      </x:c>
      <x:c r="I194" s="6" t="n">
        <x:v>3839</x:v>
      </x:c>
      <x:c r="J194" s="11" t="n">
        <x:f>E194/D194</x:f>
        <x:v>0.905422446406053</x:v>
      </x:c>
      <x:c r="K194" s="11" t="n">
        <x:f>F194/D194</x:f>
        <x:v>0.09457755359394704</x:v>
      </x:c>
      <x:c r="L194" s="13" t="n">
        <x:f>I194/D194</x:f>
        <x:v>4.841109709962169</x:v>
      </x:c>
      <x:c r="M194" s="6" t="str">
        <x:v>Included</x:v>
      </x:c>
    </x:row>
    <x:row r="195" ht="23" customHeight="1">
      <x:c r="B195" s="12" t="str">
        <x:v>7230</x:v>
      </x:c>
      <x:c r="C195" s="6" t="str">
        <x:v>Garden Ave / Roncesvalles Ave</x:v>
      </x:c>
      <x:c r="D195" s="6" t="n">
        <x:v>791</x:v>
      </x:c>
      <x:c r="E195" s="6" t="n">
        <x:v>772</x:v>
      </x:c>
      <x:c r="F195" s="6" t="n">
        <x:v>19</x:v>
      </x:c>
      <x:c r="G195" s="6" t="n">
        <x:v>11</x:v>
      </x:c>
      <x:c r="H195" s="6" t="n">
        <x:v>114</x:v>
      </x:c>
      <x:c r="I195" s="6" t="n">
        <x:v>5717</x:v>
      </x:c>
      <x:c r="J195" s="11" t="n">
        <x:f>E195/D195</x:f>
        <x:v>0.9759797724399494</x:v>
      </x:c>
      <x:c r="K195" s="11" t="n">
        <x:f>F195/D195</x:f>
        <x:v>0.02402022756005057</x:v>
      </x:c>
      <x:c r="L195" s="13" t="n">
        <x:f>I195/D195</x:f>
        <x:v>7.2275600505689</x:v>
      </x:c>
      <x:c r="M195" s="6" t="str">
        <x:v>Included</x:v>
      </x:c>
    </x:row>
    <x:row r="196" ht="23" customHeight="1">
      <x:c r="B196" s="12" t="str">
        <x:v>7231</x:v>
      </x:c>
      <x:c r="C196" s="6" t="str">
        <x:v>Wright Ave / Sorauren Ave - SMART</x:v>
      </x:c>
      <x:c r="D196" s="6" t="n">
        <x:v>784</x:v>
      </x:c>
      <x:c r="E196" s="6" t="n">
        <x:v>673</x:v>
      </x:c>
      <x:c r="F196" s="6" t="n">
        <x:v>111</x:v>
      </x:c>
      <x:c r="G196" s="6" t="n">
        <x:v>11</x:v>
      </x:c>
      <x:c r="H196" s="6" t="n">
        <x:v>114</x:v>
      </x:c>
      <x:c r="I196" s="6" t="n">
        <x:v>5122</x:v>
      </x:c>
      <x:c r="J196" s="11" t="n">
        <x:f>E196/D196</x:f>
        <x:v>0.8584183673469388</x:v>
      </x:c>
      <x:c r="K196" s="11" t="n">
        <x:f>F196/D196</x:f>
        <x:v>0.14158163265306123</x:v>
      </x:c>
      <x:c r="L196" s="13" t="n">
        <x:f>I196/D196</x:f>
        <x:v>6.533163265306122</x:v>
      </x:c>
      <x:c r="M196" s="6" t="str">
        <x:v>Included</x:v>
      </x:c>
    </x:row>
    <x:row r="197" ht="23" customHeight="1">
      <x:c r="B197" s="12" t="str">
        <x:v>7232</x:v>
      </x:c>
      <x:c r="C197" s="6" t="str">
        <x:v>Queen St W  /  Fuller Ave - SMART</x:v>
      </x:c>
      <x:c r="D197" s="6" t="n">
        <x:v>789</x:v>
      </x:c>
      <x:c r="E197" s="6" t="n">
        <x:v>615</x:v>
      </x:c>
      <x:c r="F197" s="6" t="n">
        <x:v>174</x:v>
      </x:c>
      <x:c r="G197" s="6" t="n">
        <x:v>11</x:v>
      </x:c>
      <x:c r="H197" s="6" t="n">
        <x:v>114</x:v>
      </x:c>
      <x:c r="I197" s="6" t="n">
        <x:v>1528</x:v>
      </x:c>
      <x:c r="J197" s="11" t="n">
        <x:f>E197/D197</x:f>
        <x:v>0.779467680608365</x:v>
      </x:c>
      <x:c r="K197" s="11" t="n">
        <x:f>F197/D197</x:f>
        <x:v>0.22053231939163498</x:v>
      </x:c>
      <x:c r="L197" s="13" t="n">
        <x:f>I197/D197</x:f>
        <x:v>1.9366286438529785</x:v>
      </x:c>
      <x:c r="M197" s="6" t="str">
        <x:v>Included</x:v>
      </x:c>
    </x:row>
    <x:row r="198" ht="23" customHeight="1">
      <x:c r="B198" s="12" t="str">
        <x:v>7233</x:v>
      </x:c>
      <x:c r="C198" s="6" t="str">
        <x:v>King St W / Cowan Ave - SMART</x:v>
      </x:c>
      <x:c r="D198" s="6" t="n">
        <x:v>786</x:v>
      </x:c>
      <x:c r="E198" s="6" t="n">
        <x:v>745</x:v>
      </x:c>
      <x:c r="F198" s="6" t="n">
        <x:v>41</x:v>
      </x:c>
      <x:c r="G198" s="6" t="n">
        <x:v>11</x:v>
      </x:c>
      <x:c r="H198" s="6" t="n">
        <x:v>116</x:v>
      </x:c>
      <x:c r="I198" s="6" t="n">
        <x:v>7556</x:v>
      </x:c>
      <x:c r="J198" s="11" t="n">
        <x:f>E198/D198</x:f>
        <x:v>0.9478371501272265</x:v>
      </x:c>
      <x:c r="K198" s="11" t="n">
        <x:f>F198/D198</x:f>
        <x:v>0.05216284987277354</x:v>
      </x:c>
      <x:c r="L198" s="13" t="n">
        <x:f>I198/D198</x:f>
        <x:v>9.61323155216285</x:v>
      </x:c>
      <x:c r="M198" s="6" t="str">
        <x:v>Included</x:v>
      </x:c>
    </x:row>
    <x:row r="199" ht="23" customHeight="1">
      <x:c r="B199" s="12" t="str">
        <x:v>7234</x:v>
      </x:c>
      <x:c r="C199" s="6" t="str">
        <x:v>Roncesvalles Ave / Marmaduke St</x:v>
      </x:c>
      <x:c r="D199" s="6" t="n">
        <x:v>784</x:v>
      </x:c>
      <x:c r="E199" s="6" t="n">
        <x:v>784</x:v>
      </x:c>
      <x:c r="F199" s="6" t="n">
        <x:v>0</x:v>
      </x:c>
      <x:c r="G199" s="6" t="n">
        <x:v>11</x:v>
      </x:c>
      <x:c r="H199" s="6" t="n">
        <x:v>115</x:v>
      </x:c>
      <x:c r="I199" s="6" t="n">
        <x:v>11094</x:v>
      </x:c>
      <x:c r="J199" s="11" t="n">
        <x:f>E199/D199</x:f>
        <x:v>1</x:v>
      </x:c>
      <x:c r="K199" s="11" t="n">
        <x:f>F199/D199</x:f>
        <x:v>0</x:v>
      </x:c>
      <x:c r="L199" s="13" t="n">
        <x:f>I199/D199</x:f>
        <x:v>14.150510204081632</x:v>
      </x:c>
      <x:c r="M199" s="6" t="str">
        <x:v>Included</x:v>
      </x:c>
    </x:row>
    <x:row r="200" ht="23" customHeight="1">
      <x:c r="B200" s="12" t="str">
        <x:v>7235</x:v>
      </x:c>
      <x:c r="C200" s="6" t="str">
        <x:v>Bay St / College St (West Side) - SMART</x:v>
      </x:c>
      <x:c r="D200" s="6" t="n">
        <x:v>784</x:v>
      </x:c>
      <x:c r="E200" s="6" t="n">
        <x:v>784</x:v>
      </x:c>
      <x:c r="F200" s="6" t="n">
        <x:v>0</x:v>
      </x:c>
      <x:c r="G200" s="6" t="n">
        <x:v>11</x:v>
      </x:c>
      <x:c r="H200" s="6" t="n">
        <x:v>115</x:v>
      </x:c>
      <x:c r="I200" s="6" t="n">
        <x:v>10691</x:v>
      </x:c>
      <x:c r="J200" s="11" t="n">
        <x:f>E200/D200</x:f>
        <x:v>1</x:v>
      </x:c>
      <x:c r="K200" s="11" t="n">
        <x:f>F200/D200</x:f>
        <x:v>0</x:v>
      </x:c>
      <x:c r="L200" s="13" t="n">
        <x:f>I200/D200</x:f>
        <x:v>13.636479591836734</x:v>
      </x:c>
      <x:c r="M200" s="6" t="str">
        <x:v>Included</x:v>
      </x:c>
    </x:row>
    <x:row r="201" ht="23" customHeight="1">
      <x:c r="B201" s="12" t="str">
        <x:v>7236</x:v>
      </x:c>
      <x:c r="C201" s="6" t="str">
        <x:v>Thompson St / Broadview Ave - SMART</x:v>
      </x:c>
      <x:c r="D201" s="6" t="n">
        <x:v>788</x:v>
      </x:c>
      <x:c r="E201" s="6" t="n">
        <x:v>696</x:v>
      </x:c>
      <x:c r="F201" s="6" t="n">
        <x:v>92</x:v>
      </x:c>
      <x:c r="G201" s="6" t="n">
        <x:v>11</x:v>
      </x:c>
      <x:c r="H201" s="6" t="n">
        <x:v>115</x:v>
      </x:c>
      <x:c r="I201" s="6" t="n">
        <x:v>4229</x:v>
      </x:c>
      <x:c r="J201" s="11" t="n">
        <x:f>E201/D201</x:f>
        <x:v>0.883248730964467</x:v>
      </x:c>
      <x:c r="K201" s="11" t="n">
        <x:f>F201/D201</x:f>
        <x:v>0.116751269035533</x:v>
      </x:c>
      <x:c r="L201" s="13" t="n">
        <x:f>I201/D201</x:f>
        <x:v>5.366751269035533</x:v>
      </x:c>
      <x:c r="M201" s="6" t="str">
        <x:v>Included</x:v>
      </x:c>
    </x:row>
    <x:row r="202" ht="23" customHeight="1">
      <x:c r="B202" s="12" t="str">
        <x:v>7237</x:v>
      </x:c>
      <x:c r="C202" s="6" t="str">
        <x:v>Ward St / Wallace Ave</x:v>
      </x:c>
      <x:c r="D202" s="6" t="n">
        <x:v>789</x:v>
      </x:c>
      <x:c r="E202" s="6" t="n">
        <x:v>789</x:v>
      </x:c>
      <x:c r="F202" s="6" t="n">
        <x:v>0</x:v>
      </x:c>
      <x:c r="G202" s="6" t="n">
        <x:v>11</x:v>
      </x:c>
      <x:c r="H202" s="6" t="n">
        <x:v>115</x:v>
      </x:c>
      <x:c r="I202" s="6" t="n">
        <x:v>8837</x:v>
      </x:c>
      <x:c r="J202" s="11" t="n">
        <x:f>E202/D202</x:f>
        <x:v>1</x:v>
      </x:c>
      <x:c r="K202" s="11" t="n">
        <x:f>F202/D202</x:f>
        <x:v>0</x:v>
      </x:c>
      <x:c r="L202" s="13" t="n">
        <x:f>I202/D202</x:f>
        <x:v>11.200253485424588</x:v>
      </x:c>
      <x:c r="M202" s="6" t="str">
        <x:v>Included</x:v>
      </x:c>
    </x:row>
    <x:row r="203" ht="23" customHeight="1">
      <x:c r="B203" s="12" t="str">
        <x:v>7238</x:v>
      </x:c>
      <x:c r="C203" s="6" t="str">
        <x:v>Sorauren Ave / Geoffrey St - SMART</x:v>
      </x:c>
      <x:c r="D203" s="6" t="n">
        <x:v>781</x:v>
      </x:c>
      <x:c r="E203" s="6" t="n">
        <x:v>781</x:v>
      </x:c>
      <x:c r="F203" s="6" t="n">
        <x:v>0</x:v>
      </x:c>
      <x:c r="G203" s="6" t="n">
        <x:v>11</x:v>
      </x:c>
      <x:c r="H203" s="6" t="n">
        <x:v>114</x:v>
      </x:c>
      <x:c r="I203" s="6" t="n">
        <x:v>7071</x:v>
      </x:c>
      <x:c r="J203" s="11" t="n">
        <x:f>E203/D203</x:f>
        <x:v>1</x:v>
      </x:c>
      <x:c r="K203" s="11" t="n">
        <x:f>F203/D203</x:f>
        <x:v>0</x:v>
      </x:c>
      <x:c r="L203" s="13" t="n">
        <x:f>I203/D203</x:f>
        <x:v>9.053777208706785</x:v>
      </x:c>
      <x:c r="M203" s="6" t="str">
        <x:v>Included</x:v>
      </x:c>
    </x:row>
    <x:row r="204" ht="23" customHeight="1">
      <x:c r="B204" s="12" t="str">
        <x:v>7239</x:v>
      </x:c>
      <x:c r="C204" s="6" t="str">
        <x:v>Bloor St W / Manning Ave - SMART</x:v>
      </x:c>
      <x:c r="D204" s="6" t="n">
        <x:v>788</x:v>
      </x:c>
      <x:c r="E204" s="6" t="n">
        <x:v>788</x:v>
      </x:c>
      <x:c r="F204" s="6" t="n">
        <x:v>0</x:v>
      </x:c>
      <x:c r="G204" s="6" t="n">
        <x:v>11</x:v>
      </x:c>
      <x:c r="H204" s="6" t="n">
        <x:v>115</x:v>
      </x:c>
      <x:c r="I204" s="6" t="n">
        <x:v>28420</x:v>
      </x:c>
      <x:c r="J204" s="11" t="n">
        <x:f>E204/D204</x:f>
        <x:v>1</x:v>
      </x:c>
      <x:c r="K204" s="11" t="n">
        <x:f>F204/D204</x:f>
        <x:v>0</x:v>
      </x:c>
      <x:c r="L204" s="13" t="n">
        <x:f>I204/D204</x:f>
        <x:v>36.065989847715734</x:v>
      </x:c>
      <x:c r="M204" s="6" t="str">
        <x:v>Included</x:v>
      </x:c>
    </x:row>
    <x:row r="205" ht="23" customHeight="1">
      <x:c r="B205" s="12" t="str">
        <x:v>7240</x:v>
      </x:c>
      <x:c r="C205" s="6" t="str">
        <x:v>Bloor St W / Shaw St - SMART</x:v>
      </x:c>
      <x:c r="D205" s="6" t="n">
        <x:v>783</x:v>
      </x:c>
      <x:c r="E205" s="6" t="n">
        <x:v>783</x:v>
      </x:c>
      <x:c r="F205" s="6" t="n">
        <x:v>0</x:v>
      </x:c>
      <x:c r="G205" s="6" t="n">
        <x:v>11</x:v>
      </x:c>
      <x:c r="H205" s="6" t="n">
        <x:v>114</x:v>
      </x:c>
      <x:c r="I205" s="6" t="n">
        <x:v>21286</x:v>
      </x:c>
      <x:c r="J205" s="11" t="n">
        <x:f>E205/D205</x:f>
        <x:v>1</x:v>
      </x:c>
      <x:c r="K205" s="11" t="n">
        <x:f>F205/D205</x:f>
        <x:v>0</x:v>
      </x:c>
      <x:c r="L205" s="13" t="n">
        <x:f>I205/D205</x:f>
        <x:v>27.185185185185187</x:v>
      </x:c>
      <x:c r="M205" s="6" t="str">
        <x:v>Included</x:v>
      </x:c>
    </x:row>
    <x:row r="206" ht="23" customHeight="1">
      <x:c r="B206" s="12" t="str">
        <x:v>7241</x:v>
      </x:c>
      <x:c r="C206" s="6" t="str">
        <x:v>519 Church St</x:v>
      </x:c>
      <x:c r="D206" s="6" t="n">
        <x:v>775</x:v>
      </x:c>
      <x:c r="E206" s="6" t="n">
        <x:v>775</x:v>
      </x:c>
      <x:c r="F206" s="6" t="n">
        <x:v>0</x:v>
      </x:c>
      <x:c r="G206" s="6" t="n">
        <x:v>11</x:v>
      </x:c>
      <x:c r="H206" s="6" t="n">
        <x:v>115</x:v>
      </x:c>
      <x:c r="I206" s="6" t="n">
        <x:v>7280</x:v>
      </x:c>
      <x:c r="J206" s="11" t="n">
        <x:f>E206/D206</x:f>
        <x:v>1</x:v>
      </x:c>
      <x:c r="K206" s="11" t="n">
        <x:f>F206/D206</x:f>
        <x:v>0</x:v>
      </x:c>
      <x:c r="L206" s="13" t="n">
        <x:f>I206/D206</x:f>
        <x:v>9.393548387096773</x:v>
      </x:c>
      <x:c r="M206" s="6" t="str">
        <x:v>Included</x:v>
      </x:c>
    </x:row>
    <x:row r="207" ht="23" customHeight="1">
      <x:c r="B207" s="12" t="str">
        <x:v>7242</x:v>
      </x:c>
      <x:c r="C207" s="6" t="str">
        <x:v>Lake Shore Blvd W / Ontario Dr</x:v>
      </x:c>
      <x:c r="D207" s="6" t="n">
        <x:v>780</x:v>
      </x:c>
      <x:c r="E207" s="6" t="n">
        <x:v>749</x:v>
      </x:c>
      <x:c r="F207" s="6" t="n">
        <x:v>31</x:v>
      </x:c>
      <x:c r="G207" s="6" t="n">
        <x:v>11</x:v>
      </x:c>
      <x:c r="H207" s="6" t="n">
        <x:v>115</x:v>
      </x:c>
      <x:c r="I207" s="6" t="n">
        <x:v>12606</x:v>
      </x:c>
      <x:c r="J207" s="11" t="n">
        <x:f>E207/D207</x:f>
        <x:v>0.9602564102564103</x:v>
      </x:c>
      <x:c r="K207" s="11" t="n">
        <x:f>F207/D207</x:f>
        <x:v>0.03974358974358974</x:v>
      </x:c>
      <x:c r="L207" s="13" t="n">
        <x:f>I207/D207</x:f>
        <x:v>16.161538461538463</x:v>
      </x:c>
      <x:c r="M207" s="6" t="str">
        <x:v>Included</x:v>
      </x:c>
    </x:row>
    <x:row r="208" ht="23" customHeight="1">
      <x:c r="B208" s="12" t="str">
        <x:v>7243</x:v>
      </x:c>
      <x:c r="C208" s="6" t="str">
        <x:v>Exhibition GO Station</x:v>
      </x:c>
      <x:c r="D208" s="6" t="n">
        <x:v>767</x:v>
      </x:c>
      <x:c r="E208" s="6" t="n">
        <x:v>711</x:v>
      </x:c>
      <x:c r="F208" s="6" t="n">
        <x:v>56</x:v>
      </x:c>
      <x:c r="G208" s="6" t="n">
        <x:v>11</x:v>
      </x:c>
      <x:c r="H208" s="6" t="n">
        <x:v>113</x:v>
      </x:c>
      <x:c r="I208" s="6" t="n">
        <x:v>5524</x:v>
      </x:c>
      <x:c r="J208" s="11" t="n">
        <x:f>E208/D208</x:f>
        <x:v>0.9269882659713168</x:v>
      </x:c>
      <x:c r="K208" s="11" t="n">
        <x:f>F208/D208</x:f>
        <x:v>0.07301173402868318</x:v>
      </x:c>
      <x:c r="L208" s="13" t="n">
        <x:f>I208/D208</x:f>
        <x:v>7.202086049543676</x:v>
      </x:c>
      <x:c r="M208" s="6" t="str">
        <x:v>Included</x:v>
      </x:c>
    </x:row>
    <x:row r="209" ht="23" customHeight="1">
      <x:c r="B209" s="12" t="str">
        <x:v>7244</x:v>
      </x:c>
      <x:c r="C209" s="6" t="str">
        <x:v>Dufferin Gate - SMART</x:v>
      </x:c>
      <x:c r="D209" s="6" t="n">
        <x:v>784</x:v>
      </x:c>
      <x:c r="E209" s="6" t="n">
        <x:v>717</x:v>
      </x:c>
      <x:c r="F209" s="6" t="n">
        <x:v>67</x:v>
      </x:c>
      <x:c r="G209" s="6" t="n">
        <x:v>11</x:v>
      </x:c>
      <x:c r="H209" s="6" t="n">
        <x:v>115</x:v>
      </x:c>
      <x:c r="I209" s="6" t="n">
        <x:v>6334</x:v>
      </x:c>
      <x:c r="J209" s="11" t="n">
        <x:f>E209/D209</x:f>
        <x:v>0.9145408163265306</x:v>
      </x:c>
      <x:c r="K209" s="11" t="n">
        <x:f>F209/D209</x:f>
        <x:v>0.08545918367346939</x:v>
      </x:c>
      <x:c r="L209" s="13" t="n">
        <x:f>I209/D209</x:f>
        <x:v>8.079081632653061</x:v>
      </x:c>
      <x:c r="M209" s="6" t="str">
        <x:v>Included</x:v>
      </x:c>
    </x:row>
    <x:row r="210" ht="23" customHeight="1">
      <x:c r="B210" s="12" t="str">
        <x:v>7246</x:v>
      </x:c>
      <x:c r="C210" s="6" t="str">
        <x:v>Yonge St / Bloor St</x:v>
      </x:c>
      <x:c r="D210" s="6" t="n">
        <x:v>770</x:v>
      </x:c>
      <x:c r="E210" s="6" t="n">
        <x:v>770</x:v>
      </x:c>
      <x:c r="F210" s="6" t="n">
        <x:v>0</x:v>
      </x:c>
      <x:c r="G210" s="6" t="n">
        <x:v>11</x:v>
      </x:c>
      <x:c r="H210" s="6" t="n">
        <x:v>116</x:v>
      </x:c>
      <x:c r="I210" s="6" t="n">
        <x:v>12661</x:v>
      </x:c>
      <x:c r="J210" s="11" t="n">
        <x:f>E210/D210</x:f>
        <x:v>1</x:v>
      </x:c>
      <x:c r="K210" s="11" t="n">
        <x:f>F210/D210</x:f>
        <x:v>0</x:v>
      </x:c>
      <x:c r="L210" s="13" t="n">
        <x:f>I210/D210</x:f>
        <x:v>16.442857142857143</x:v>
      </x:c>
      <x:c r="M210" s="6" t="str">
        <x:v>Included</x:v>
      </x:c>
    </x:row>
    <x:row r="211" ht="23" customHeight="1">
      <x:c r="B211" s="12" t="str">
        <x:v>7247</x:v>
      </x:c>
      <x:c r="C211" s="6" t="str">
        <x:v>Howard Park Ave / Dundas St W - SMART</x:v>
      </x:c>
      <x:c r="D211" s="6" t="n">
        <x:v>796</x:v>
      </x:c>
      <x:c r="E211" s="6" t="n">
        <x:v>778</x:v>
      </x:c>
      <x:c r="F211" s="6" t="n">
        <x:v>18</x:v>
      </x:c>
      <x:c r="G211" s="6" t="n">
        <x:v>11</x:v>
      </x:c>
      <x:c r="H211" s="6" t="n">
        <x:v>116</x:v>
      </x:c>
      <x:c r="I211" s="6" t="n">
        <x:v>5720</x:v>
      </x:c>
      <x:c r="J211" s="11" t="n">
        <x:f>E211/D211</x:f>
        <x:v>0.9773869346733668</x:v>
      </x:c>
      <x:c r="K211" s="11" t="n">
        <x:f>F211/D211</x:f>
        <x:v>0.022613065326633167</x:v>
      </x:c>
      <x:c r="L211" s="13" t="n">
        <x:f>I211/D211</x:f>
        <x:v>7.185929648241206</x:v>
      </x:c>
      <x:c r="M211" s="6" t="str">
        <x:v>Included</x:v>
      </x:c>
    </x:row>
    <x:row r="212" ht="23" customHeight="1">
      <x:c r="B212" s="12" t="str">
        <x:v>7248</x:v>
      </x:c>
      <x:c r="C212" s="6" t="str">
        <x:v>Baldwin St / Spadina Ave - SMART</x:v>
      </x:c>
      <x:c r="D212" s="6" t="n">
        <x:v>786</x:v>
      </x:c>
      <x:c r="E212" s="6" t="n">
        <x:v>785</x:v>
      </x:c>
      <x:c r="F212" s="6" t="n">
        <x:v>1</x:v>
      </x:c>
      <x:c r="G212" s="6" t="n">
        <x:v>11</x:v>
      </x:c>
      <x:c r="H212" s="6" t="n">
        <x:v>115</x:v>
      </x:c>
      <x:c r="I212" s="6" t="n">
        <x:v>10467</x:v>
      </x:c>
      <x:c r="J212" s="11" t="n">
        <x:f>E212/D212</x:f>
        <x:v>0.9987277353689568</x:v>
      </x:c>
      <x:c r="K212" s="11" t="n">
        <x:f>F212/D212</x:f>
        <x:v>0.001272264631043257</x:v>
      </x:c>
      <x:c r="L212" s="13" t="n">
        <x:f>I212/D212</x:f>
        <x:v>13.316793893129772</x:v>
      </x:c>
      <x:c r="M212" s="6" t="str">
        <x:v>Included</x:v>
      </x:c>
    </x:row>
    <x:row r="213" ht="23" customHeight="1">
      <x:c r="B213" s="12" t="str">
        <x:v>7249</x:v>
      </x:c>
      <x:c r="C213" s="6" t="str">
        <x:v>144 Harrison St</x:v>
      </x:c>
      <x:c r="D213" s="6" t="n">
        <x:v>793</x:v>
      </x:c>
      <x:c r="E213" s="6" t="n">
        <x:v>771</x:v>
      </x:c>
      <x:c r="F213" s="6" t="n">
        <x:v>22</x:v>
      </x:c>
      <x:c r="G213" s="6" t="n">
        <x:v>11</x:v>
      </x:c>
      <x:c r="H213" s="6" t="n">
        <x:v>114</x:v>
      </x:c>
      <x:c r="I213" s="6" t="n">
        <x:v>11097</x:v>
      </x:c>
      <x:c r="J213" s="11" t="n">
        <x:f>E213/D213</x:f>
        <x:v>0.9722572509457755</x:v>
      </x:c>
      <x:c r="K213" s="11" t="n">
        <x:f>F213/D213</x:f>
        <x:v>0.027742749054224466</x:v>
      </x:c>
      <x:c r="L213" s="13" t="n">
        <x:f>I213/D213</x:f>
        <x:v>13.993694829760404</x:v>
      </x:c>
      <x:c r="M213" s="6" t="str">
        <x:v>Included</x:v>
      </x:c>
    </x:row>
    <x:row r="214" ht="23" customHeight="1">
      <x:c r="B214" s="12" t="str">
        <x:v>7250</x:v>
      </x:c>
      <x:c r="C214" s="6" t="str">
        <x:v>Ursula Franklin St / St. George St - SMART</x:v>
      </x:c>
      <x:c r="D214" s="6" t="n">
        <x:v>788</x:v>
      </x:c>
      <x:c r="E214" s="6" t="n">
        <x:v>714</x:v>
      </x:c>
      <x:c r="F214" s="6" t="n">
        <x:v>74</x:v>
      </x:c>
      <x:c r="G214" s="6" t="n">
        <x:v>11</x:v>
      </x:c>
      <x:c r="H214" s="6" t="n">
        <x:v>114</x:v>
      </x:c>
      <x:c r="I214" s="6" t="n">
        <x:v>7998</x:v>
      </x:c>
      <x:c r="J214" s="11" t="n">
        <x:f>E214/D214</x:f>
        <x:v>0.9060913705583756</x:v>
      </x:c>
      <x:c r="K214" s="11" t="n">
        <x:f>F214/D214</x:f>
        <x:v>0.09390862944162437</x:v>
      </x:c>
      <x:c r="L214" s="13" t="n">
        <x:f>I214/D214</x:f>
        <x:v>10.149746192893401</x:v>
      </x:c>
      <x:c r="M214" s="6" t="str">
        <x:v>Included</x:v>
      </x:c>
    </x:row>
    <x:row r="215" ht="23" customHeight="1">
      <x:c r="B215" s="12" t="str">
        <x:v>7252</x:v>
      </x:c>
      <x:c r="C215" s="6" t="str">
        <x:v>Robert St / Bloor St W - SMART</x:v>
      </x:c>
      <x:c r="D215" s="6" t="n">
        <x:v>790</x:v>
      </x:c>
      <x:c r="E215" s="6" t="n">
        <x:v>790</x:v>
      </x:c>
      <x:c r="F215" s="6" t="n">
        <x:v>0</x:v>
      </x:c>
      <x:c r="G215" s="6" t="n">
        <x:v>11</x:v>
      </x:c>
      <x:c r="H215" s="6" t="n">
        <x:v>114</x:v>
      </x:c>
      <x:c r="I215" s="6" t="n">
        <x:v>11914</x:v>
      </x:c>
      <x:c r="J215" s="11" t="n">
        <x:f>E215/D215</x:f>
        <x:v>1</x:v>
      </x:c>
      <x:c r="K215" s="11" t="n">
        <x:f>F215/D215</x:f>
        <x:v>0</x:v>
      </x:c>
      <x:c r="L215" s="13" t="n">
        <x:f>I215/D215</x:f>
        <x:v>15.081012658227849</x:v>
      </x:c>
      <x:c r="M215" s="6" t="str">
        <x:v>Included</x:v>
      </x:c>
    </x:row>
    <x:row r="216" ht="23" customHeight="1">
      <x:c r="B216" s="12" t="str">
        <x:v>7253</x:v>
      </x:c>
      <x:c r="C216" s="6" t="str">
        <x:v>John St  / Mercer St - SMART</x:v>
      </x:c>
      <x:c r="D216" s="6" t="n">
        <x:v>782</x:v>
      </x:c>
      <x:c r="E216" s="6" t="n">
        <x:v>622</x:v>
      </x:c>
      <x:c r="F216" s="6" t="n">
        <x:v>160</x:v>
      </x:c>
      <x:c r="G216" s="6" t="n">
        <x:v>11</x:v>
      </x:c>
      <x:c r="H216" s="6" t="n">
        <x:v>114</x:v>
      </x:c>
      <x:c r="I216" s="6" t="n">
        <x:v>3334</x:v>
      </x:c>
      <x:c r="J216" s="11" t="n">
        <x:f>E216/D216</x:f>
        <x:v>0.7953964194373402</x:v>
      </x:c>
      <x:c r="K216" s="11" t="n">
        <x:f>F216/D216</x:f>
        <x:v>0.20460358056265984</x:v>
      </x:c>
      <x:c r="L216" s="13" t="n">
        <x:f>I216/D216</x:f>
        <x:v>4.263427109974424</x:v>
      </x:c>
      <x:c r="M216" s="6" t="str">
        <x:v>Included</x:v>
      </x:c>
    </x:row>
    <x:row r="217" ht="23" customHeight="1">
      <x:c r="B217" s="12" t="str">
        <x:v>7256</x:v>
      </x:c>
      <x:c r="C217" s="6" t="str">
        <x:v>Vanauley St / Queen St W - SMART</x:v>
      </x:c>
      <x:c r="D217" s="6" t="n">
        <x:v>788</x:v>
      </x:c>
      <x:c r="E217" s="6" t="n">
        <x:v>712</x:v>
      </x:c>
      <x:c r="F217" s="6" t="n">
        <x:v>76</x:v>
      </x:c>
      <x:c r="G217" s="6" t="n">
        <x:v>11</x:v>
      </x:c>
      <x:c r="H217" s="6" t="n">
        <x:v>115</x:v>
      </x:c>
      <x:c r="I217" s="6" t="n">
        <x:v>3299</x:v>
      </x:c>
      <x:c r="J217" s="11" t="n">
        <x:f>E217/D217</x:f>
        <x:v>0.9035532994923858</x:v>
      </x:c>
      <x:c r="K217" s="11" t="n">
        <x:f>F217/D217</x:f>
        <x:v>0.09644670050761421</x:v>
      </x:c>
      <x:c r="L217" s="13" t="n">
        <x:f>I217/D217</x:f>
        <x:v>4.186548223350254</x:v>
      </x:c>
      <x:c r="M217" s="6" t="str">
        <x:v>Included</x:v>
      </x:c>
    </x:row>
    <x:row r="218" ht="23" customHeight="1">
      <x:c r="B218" s="12" t="str">
        <x:v>7257</x:v>
      </x:c>
      <x:c r="C218" s="6" t="str">
        <x:v>Dundas St W / St. Patrick St</x:v>
      </x:c>
      <x:c r="D218" s="6" t="n">
        <x:v>792</x:v>
      </x:c>
      <x:c r="E218" s="6" t="n">
        <x:v>787</x:v>
      </x:c>
      <x:c r="F218" s="6" t="n">
        <x:v>5</x:v>
      </x:c>
      <x:c r="G218" s="6" t="n">
        <x:v>11</x:v>
      </x:c>
      <x:c r="H218" s="6" t="n">
        <x:v>114</x:v>
      </x:c>
      <x:c r="I218" s="6" t="n">
        <x:v>10704</x:v>
      </x:c>
      <x:c r="J218" s="11" t="n">
        <x:f>E218/D218</x:f>
        <x:v>0.9936868686868687</x:v>
      </x:c>
      <x:c r="K218" s="11" t="n">
        <x:f>F218/D218</x:f>
        <x:v>0.006313131313131313</x:v>
      </x:c>
      <x:c r="L218" s="13" t="n">
        <x:f>I218/D218</x:f>
        <x:v>13.515151515151516</x:v>
      </x:c>
      <x:c r="M218" s="6" t="str">
        <x:v>Included</x:v>
      </x:c>
    </x:row>
    <x:row r="219" ht="23" customHeight="1">
      <x:c r="B219" s="12" t="str">
        <x:v>7258</x:v>
      </x:c>
      <x:c r="C219" s="6" t="str">
        <x:v>Queen St E / Rushbrooke Ave</x:v>
      </x:c>
      <x:c r="D219" s="6" t="n">
        <x:v>790</x:v>
      </x:c>
      <x:c r="E219" s="6" t="n">
        <x:v>520</x:v>
      </x:c>
      <x:c r="F219" s="6" t="n">
        <x:v>270</x:v>
      </x:c>
      <x:c r="G219" s="6" t="n">
        <x:v>11</x:v>
      </x:c>
      <x:c r="H219" s="6" t="n">
        <x:v>115</x:v>
      </x:c>
      <x:c r="I219" s="6" t="n">
        <x:v>1489</x:v>
      </x:c>
      <x:c r="J219" s="11" t="n">
        <x:f>E219/D219</x:f>
        <x:v>0.6582278481012658</x:v>
      </x:c>
      <x:c r="K219" s="11" t="n">
        <x:f>F219/D219</x:f>
        <x:v>0.34177215189873417</x:v>
      </x:c>
      <x:c r="L219" s="13" t="n">
        <x:f>I219/D219</x:f>
        <x:v>1.8848101265822785</x:v>
      </x:c>
      <x:c r="M219" s="6" t="str">
        <x:v>Included</x:v>
      </x:c>
    </x:row>
    <x:row r="220" ht="23" customHeight="1">
      <x:c r="B220" s="12" t="str">
        <x:v>7259</x:v>
      </x:c>
      <x:c r="C220" s="6" t="str">
        <x:v>Lower Spadina Ave / Lake Shore Blvd W</x:v>
      </x:c>
      <x:c r="D220" s="6" t="n">
        <x:v>800</x:v>
      </x:c>
      <x:c r="E220" s="6" t="n">
        <x:v>685</x:v>
      </x:c>
      <x:c r="F220" s="6" t="n">
        <x:v>115</x:v>
      </x:c>
      <x:c r="G220" s="6" t="n">
        <x:v>11</x:v>
      </x:c>
      <x:c r="H220" s="6" t="n">
        <x:v>116</x:v>
      </x:c>
      <x:c r="I220" s="6" t="n">
        <x:v>4559</x:v>
      </x:c>
      <x:c r="J220" s="11" t="n">
        <x:f>E220/D220</x:f>
        <x:v>0.85625</x:v>
      </x:c>
      <x:c r="K220" s="11" t="n">
        <x:f>F220/D220</x:f>
        <x:v>0.14375</x:v>
      </x:c>
      <x:c r="L220" s="13" t="n">
        <x:f>I220/D220</x:f>
        <x:v>5.69875</x:v>
      </x:c>
      <x:c r="M220" s="6" t="str">
        <x:v>Included</x:v>
      </x:c>
    </x:row>
    <x:row r="221" ht="23" customHeight="1">
      <x:c r="B221" s="12" t="str">
        <x:v>7260</x:v>
      </x:c>
      <x:c r="C221" s="6" t="str">
        <x:v>Spadina Ave / Adelaide St W</x:v>
      </x:c>
      <x:c r="D221" s="6" t="n">
        <x:v>783</x:v>
      </x:c>
      <x:c r="E221" s="6" t="n">
        <x:v>660</x:v>
      </x:c>
      <x:c r="F221" s="6" t="n">
        <x:v>123</x:v>
      </x:c>
      <x:c r="G221" s="6" t="n">
        <x:v>11</x:v>
      </x:c>
      <x:c r="H221" s="6" t="n">
        <x:v>115</x:v>
      </x:c>
      <x:c r="I221" s="6" t="n">
        <x:v>3637</x:v>
      </x:c>
      <x:c r="J221" s="11" t="n">
        <x:f>E221/D221</x:f>
        <x:v>0.842911877394636</x:v>
      </x:c>
      <x:c r="K221" s="11" t="n">
        <x:f>F221/D221</x:f>
        <x:v>0.15708812260536398</x:v>
      </x:c>
      <x:c r="L221" s="13" t="n">
        <x:f>I221/D221</x:f>
        <x:v>4.644955300127714</x:v>
      </x:c>
      <x:c r="M221" s="6" t="str">
        <x:v>Included</x:v>
      </x:c>
    </x:row>
    <x:row r="222" ht="23" customHeight="1">
      <x:c r="B222" s="12" t="str">
        <x:v>7261</x:v>
      </x:c>
      <x:c r="C222" s="6" t="str">
        <x:v>Queens Quay E / Lower Sherbourne St</x:v>
      </x:c>
      <x:c r="D222" s="6" t="n">
        <x:v>791</x:v>
      </x:c>
      <x:c r="E222" s="6" t="n">
        <x:v>759</x:v>
      </x:c>
      <x:c r="F222" s="6" t="n">
        <x:v>32</x:v>
      </x:c>
      <x:c r="G222" s="6" t="n">
        <x:v>11</x:v>
      </x:c>
      <x:c r="H222" s="6" t="n">
        <x:v>116</x:v>
      </x:c>
      <x:c r="I222" s="6" t="n">
        <x:v>6968</x:v>
      </x:c>
      <x:c r="J222" s="11" t="n">
        <x:f>E222/D222</x:f>
        <x:v>0.9595448798988622</x:v>
      </x:c>
      <x:c r="K222" s="11" t="n">
        <x:f>F222/D222</x:f>
        <x:v>0.040455120101137804</x:v>
      </x:c>
      <x:c r="L222" s="13" t="n">
        <x:f>I222/D222</x:f>
        <x:v>8.809102402022756</x:v>
      </x:c>
      <x:c r="M222" s="6" t="str">
        <x:v>Included</x:v>
      </x:c>
    </x:row>
    <x:row r="223" ht="23" customHeight="1">
      <x:c r="B223" s="12" t="str">
        <x:v>7262</x:v>
      </x:c>
      <x:c r="C223" s="6" t="str">
        <x:v>Wychwood Ave / Benson Ave - SMART</x:v>
      </x:c>
      <x:c r="D223" s="6" t="n">
        <x:v>784</x:v>
      </x:c>
      <x:c r="E223" s="6" t="n">
        <x:v>784</x:v>
      </x:c>
      <x:c r="F223" s="6" t="n">
        <x:v>0</x:v>
      </x:c>
      <x:c r="G223" s="6" t="n">
        <x:v>11</x:v>
      </x:c>
      <x:c r="H223" s="6" t="n">
        <x:v>113</x:v>
      </x:c>
      <x:c r="I223" s="6" t="n">
        <x:v>10950</x:v>
      </x:c>
      <x:c r="J223" s="11" t="n">
        <x:f>E223/D223</x:f>
        <x:v>1</x:v>
      </x:c>
      <x:c r="K223" s="11" t="n">
        <x:f>F223/D223</x:f>
        <x:v>0</x:v>
      </x:c>
      <x:c r="L223" s="13" t="n">
        <x:f>I223/D223</x:f>
        <x:v>13.966836734693878</x:v>
      </x:c>
      <x:c r="M223" s="6" t="str">
        <x:v>Included</x:v>
      </x:c>
    </x:row>
    <x:row r="224" ht="23" customHeight="1">
      <x:c r="B224" s="12" t="str">
        <x:v>7264</x:v>
      </x:c>
      <x:c r="C224" s="6" t="str">
        <x:v>Bloor St E / Huntley St - SMART</x:v>
      </x:c>
      <x:c r="D224" s="6" t="n">
        <x:v>680</x:v>
      </x:c>
      <x:c r="E224" s="6" t="n">
        <x:v>680</x:v>
      </x:c>
      <x:c r="F224" s="6" t="n">
        <x:v>0</x:v>
      </x:c>
      <x:c r="G224" s="6" t="n">
        <x:v>9</x:v>
      </x:c>
      <x:c r="H224" s="6" t="n">
        <x:v>86</x:v>
      </x:c>
      <x:c r="I224" s="6" t="n">
        <x:v>11452</x:v>
      </x:c>
      <x:c r="J224" s="11" t="n">
        <x:f>E224/D224</x:f>
        <x:v>1</x:v>
      </x:c>
      <x:c r="K224" s="11" t="n">
        <x:f>F224/D224</x:f>
        <x:v>0</x:v>
      </x:c>
      <x:c r="L224" s="13" t="n">
        <x:f>I224/D224</x:f>
        <x:v>16.841176470588234</x:v>
      </x:c>
      <x:c r="M224" s="6" t="str">
        <x:v>Included</x:v>
      </x:c>
    </x:row>
    <x:row r="225" ht="23" customHeight="1">
      <x:c r="B225" s="12" t="str">
        <x:v>7265</x:v>
      </x:c>
      <x:c r="C225" s="6" t="str">
        <x:v>Wallace Ave / Symington Ave - SMART</x:v>
      </x:c>
      <x:c r="D225" s="6" t="n">
        <x:v>787</x:v>
      </x:c>
      <x:c r="E225" s="6" t="n">
        <x:v>786</x:v>
      </x:c>
      <x:c r="F225" s="6" t="n">
        <x:v>1</x:v>
      </x:c>
      <x:c r="G225" s="6" t="n">
        <x:v>11</x:v>
      </x:c>
      <x:c r="H225" s="6" t="n">
        <x:v>113</x:v>
      </x:c>
      <x:c r="I225" s="6" t="n">
        <x:v>6071</x:v>
      </x:c>
      <x:c r="J225" s="11" t="n">
        <x:f>E225/D225</x:f>
        <x:v>0.9987293519695044</x:v>
      </x:c>
      <x:c r="K225" s="11" t="n">
        <x:f>F225/D225</x:f>
        <x:v>0.0012706480304955528</x:v>
      </x:c>
      <x:c r="L225" s="13" t="n">
        <x:f>I225/D225</x:f>
        <x:v>7.714104193138501</x:v>
      </x:c>
      <x:c r="M225" s="6" t="str">
        <x:v>Included</x:v>
      </x:c>
    </x:row>
    <x:row r="226" ht="23" customHeight="1">
      <x:c r="B226" s="12" t="str">
        <x:v>7266</x:v>
      </x:c>
      <x:c r="C226" s="6" t="str">
        <x:v>Victoria Park Subway Station - SMART</x:v>
      </x:c>
      <x:c r="D226" s="6" t="n">
        <x:v>783</x:v>
      </x:c>
      <x:c r="E226" s="6" t="n">
        <x:v>783</x:v>
      </x:c>
      <x:c r="F226" s="6" t="n">
        <x:v>0</x:v>
      </x:c>
      <x:c r="G226" s="6" t="n">
        <x:v>11</x:v>
      </x:c>
      <x:c r="H226" s="6" t="n">
        <x:v>114</x:v>
      </x:c>
      <x:c r="I226" s="6" t="n">
        <x:v>9024</x:v>
      </x:c>
      <x:c r="J226" s="11" t="n">
        <x:f>E226/D226</x:f>
        <x:v>1</x:v>
      </x:c>
      <x:c r="K226" s="11" t="n">
        <x:f>F226/D226</x:f>
        <x:v>0</x:v>
      </x:c>
      <x:c r="L226" s="13" t="n">
        <x:f>I226/D226</x:f>
        <x:v>11.524904214559387</x:v>
      </x:c>
      <x:c r="M226" s="6" t="str">
        <x:v>Included</x:v>
      </x:c>
    </x:row>
    <x:row r="227" ht="23" customHeight="1">
      <x:c r="B227" s="12" t="str">
        <x:v>7267</x:v>
      </x:c>
      <x:c r="C227" s="6" t="str">
        <x:v>Dundas St E / Pembroke St</x:v>
      </x:c>
      <x:c r="D227" s="6" t="n">
        <x:v>788</x:v>
      </x:c>
      <x:c r="E227" s="6" t="n">
        <x:v>727</x:v>
      </x:c>
      <x:c r="F227" s="6" t="n">
        <x:v>61</x:v>
      </x:c>
      <x:c r="G227" s="6" t="n">
        <x:v>11</x:v>
      </x:c>
      <x:c r="H227" s="6" t="n">
        <x:v>114</x:v>
      </x:c>
      <x:c r="I227" s="6" t="n">
        <x:v>7029</x:v>
      </x:c>
      <x:c r="J227" s="11" t="n">
        <x:f>E227/D227</x:f>
        <x:v>0.9225888324873096</x:v>
      </x:c>
      <x:c r="K227" s="11" t="n">
        <x:f>F227/D227</x:f>
        <x:v>0.07741116751269035</x:v>
      </x:c>
      <x:c r="L227" s="13" t="n">
        <x:f>I227/D227</x:f>
        <x:v>8.92005076142132</x:v>
      </x:c>
      <x:c r="M227" s="6" t="str">
        <x:v>Included</x:v>
      </x:c>
    </x:row>
    <x:row r="228" ht="23" customHeight="1">
      <x:c r="B228" s="12" t="str">
        <x:v>7268</x:v>
      </x:c>
      <x:c r="C228" s="6" t="str">
        <x:v>111 Bond St (North of Dundas St E)  - SMART</x:v>
      </x:c>
      <x:c r="D228" s="6" t="n">
        <x:v>787</x:v>
      </x:c>
      <x:c r="E228" s="6" t="n">
        <x:v>787</x:v>
      </x:c>
      <x:c r="F228" s="6" t="n">
        <x:v>0</x:v>
      </x:c>
      <x:c r="G228" s="6" t="n">
        <x:v>11</x:v>
      </x:c>
      <x:c r="H228" s="6" t="n">
        <x:v>115</x:v>
      </x:c>
      <x:c r="I228" s="6" t="n">
        <x:v>11641</x:v>
      </x:c>
      <x:c r="J228" s="11" t="n">
        <x:f>E228/D228</x:f>
        <x:v>1</x:v>
      </x:c>
      <x:c r="K228" s="11" t="n">
        <x:f>F228/D228</x:f>
        <x:v>0</x:v>
      </x:c>
      <x:c r="L228" s="13" t="n">
        <x:f>I228/D228</x:f>
        <x:v>14.79161372299873</x:v>
      </x:c>
      <x:c r="M228" s="6" t="str">
        <x:v>Included</x:v>
      </x:c>
    </x:row>
    <x:row r="229" ht="23" customHeight="1">
      <x:c r="B229" s="12" t="str">
        <x:v>7269</x:v>
      </x:c>
      <x:c r="C229" s="6" t="str">
        <x:v>Toronto Eaton Centre (Yonge St) - SMART</x:v>
      </x:c>
      <x:c r="D229" s="6" t="n">
        <x:v>791</x:v>
      </x:c>
      <x:c r="E229" s="6" t="n">
        <x:v>773</x:v>
      </x:c>
      <x:c r="F229" s="6" t="n">
        <x:v>18</x:v>
      </x:c>
      <x:c r="G229" s="6" t="n">
        <x:v>11</x:v>
      </x:c>
      <x:c r="H229" s="6" t="n">
        <x:v>115</x:v>
      </x:c>
      <x:c r="I229" s="6" t="n">
        <x:v>9128</x:v>
      </x:c>
      <x:c r="J229" s="11" t="n">
        <x:f>E229/D229</x:f>
        <x:v>0.97724399494311</x:v>
      </x:c>
      <x:c r="K229" s="11" t="n">
        <x:f>F229/D229</x:f>
        <x:v>0.022756005056890013</x:v>
      </x:c>
      <x:c r="L229" s="13" t="n">
        <x:f>I229/D229</x:f>
        <x:v>11.539823008849558</x:v>
      </x:c>
      <x:c r="M229" s="6" t="str">
        <x:v>Included</x:v>
      </x:c>
    </x:row>
    <x:row r="230" ht="23" customHeight="1">
      <x:c r="B230" s="12" t="str">
        <x:v>7270</x:v>
      </x:c>
      <x:c r="C230" s="6" t="str">
        <x:v>Church St / Dundas St E - SMART</x:v>
      </x:c>
      <x:c r="D230" s="6" t="n">
        <x:v>786</x:v>
      </x:c>
      <x:c r="E230" s="6" t="n">
        <x:v>767</x:v>
      </x:c>
      <x:c r="F230" s="6" t="n">
        <x:v>19</x:v>
      </x:c>
      <x:c r="G230" s="6" t="n">
        <x:v>11</x:v>
      </x:c>
      <x:c r="H230" s="6" t="n">
        <x:v>114</x:v>
      </x:c>
      <x:c r="I230" s="6" t="n">
        <x:v>10699</x:v>
      </x:c>
      <x:c r="J230" s="11" t="n">
        <x:f>E230/D230</x:f>
        <x:v>0.9758269720101781</x:v>
      </x:c>
      <x:c r="K230" s="11" t="n">
        <x:f>F230/D230</x:f>
        <x:v>0.024173027989821884</x:v>
      </x:c>
      <x:c r="L230" s="13" t="n">
        <x:f>I230/D230</x:f>
        <x:v>13.611959287531807</x:v>
      </x:c>
      <x:c r="M230" s="6" t="str">
        <x:v>Included</x:v>
      </x:c>
    </x:row>
    <x:row r="231" ht="23" customHeight="1">
      <x:c r="B231" s="12" t="str">
        <x:v>7271</x:v>
      </x:c>
      <x:c r="C231" s="6" t="str">
        <x:v>Yonge St / Alexander St - SMART</x:v>
      </x:c>
      <x:c r="D231" s="6" t="n">
        <x:v>790</x:v>
      </x:c>
      <x:c r="E231" s="6" t="n">
        <x:v>790</x:v>
      </x:c>
      <x:c r="F231" s="6" t="n">
        <x:v>0</x:v>
      </x:c>
      <x:c r="G231" s="6" t="n">
        <x:v>11</x:v>
      </x:c>
      <x:c r="H231" s="6" t="n">
        <x:v>115</x:v>
      </x:c>
      <x:c r="I231" s="6" t="n">
        <x:v>12073</x:v>
      </x:c>
      <x:c r="J231" s="11" t="n">
        <x:f>E231/D231</x:f>
        <x:v>1</x:v>
      </x:c>
      <x:c r="K231" s="11" t="n">
        <x:f>F231/D231</x:f>
        <x:v>0</x:v>
      </x:c>
      <x:c r="L231" s="13" t="n">
        <x:f>I231/D231</x:f>
        <x:v>15.282278481012659</x:v>
      </x:c>
      <x:c r="M231" s="6" t="str">
        <x:v>Included</x:v>
      </x:c>
    </x:row>
    <x:row r="232" ht="23" customHeight="1">
      <x:c r="B232" s="12" t="str">
        <x:v>7272</x:v>
      </x:c>
      <x:c r="C232" s="6" t="str">
        <x:v>Yonge St / Dundonald St</x:v>
      </x:c>
      <x:c r="D232" s="6" t="n">
        <x:v>790</x:v>
      </x:c>
      <x:c r="E232" s="6" t="n">
        <x:v>790</x:v>
      </x:c>
      <x:c r="F232" s="6" t="n">
        <x:v>0</x:v>
      </x:c>
      <x:c r="G232" s="6" t="n">
        <x:v>11</x:v>
      </x:c>
      <x:c r="H232" s="6" t="n">
        <x:v>115</x:v>
      </x:c>
      <x:c r="I232" s="6" t="n">
        <x:v>17559</x:v>
      </x:c>
      <x:c r="J232" s="11" t="n">
        <x:f>E232/D232</x:f>
        <x:v>1</x:v>
      </x:c>
      <x:c r="K232" s="11" t="n">
        <x:f>F232/D232</x:f>
        <x:v>0</x:v>
      </x:c>
      <x:c r="L232" s="13" t="n">
        <x:f>I232/D232</x:f>
        <x:v>22.22658227848101</x:v>
      </x:c>
      <x:c r="M232" s="6" t="str">
        <x:v>Included</x:v>
      </x:c>
    </x:row>
    <x:row r="233" ht="23" customHeight="1">
      <x:c r="B233" s="12" t="str">
        <x:v>7273</x:v>
      </x:c>
      <x:c r="C233" s="6" t="str">
        <x:v>Bay St / Charles St W - SMART</x:v>
      </x:c>
      <x:c r="D233" s="6" t="n">
        <x:v>790</x:v>
      </x:c>
      <x:c r="E233" s="6" t="n">
        <x:v>790</x:v>
      </x:c>
      <x:c r="F233" s="6" t="n">
        <x:v>0</x:v>
      </x:c>
      <x:c r="G233" s="6" t="n">
        <x:v>11</x:v>
      </x:c>
      <x:c r="H233" s="6" t="n">
        <x:v>114</x:v>
      </x:c>
      <x:c r="I233" s="6" t="n">
        <x:v>14341</x:v>
      </x:c>
      <x:c r="J233" s="11" t="n">
        <x:f>E233/D233</x:f>
        <x:v>1</x:v>
      </x:c>
      <x:c r="K233" s="11" t="n">
        <x:f>F233/D233</x:f>
        <x:v>0</x:v>
      </x:c>
      <x:c r="L233" s="13" t="n">
        <x:f>I233/D233</x:f>
        <x:v>18.153164556962025</x:v>
      </x:c>
      <x:c r="M233" s="6" t="str">
        <x:v>Included</x:v>
      </x:c>
    </x:row>
    <x:row r="234" ht="23" customHeight="1">
      <x:c r="B234" s="12" t="str">
        <x:v>7276</x:v>
      </x:c>
      <x:c r="C234" s="6" t="str">
        <x:v>Bloor St W / Balmuto St</x:v>
      </x:c>
      <x:c r="D234" s="6" t="n">
        <x:v>788</x:v>
      </x:c>
      <x:c r="E234" s="6" t="n">
        <x:v>788</x:v>
      </x:c>
      <x:c r="F234" s="6" t="n">
        <x:v>0</x:v>
      </x:c>
      <x:c r="G234" s="6" t="n">
        <x:v>11</x:v>
      </x:c>
      <x:c r="H234" s="6" t="n">
        <x:v>113</x:v>
      </x:c>
      <x:c r="I234" s="6" t="n">
        <x:v>7049</x:v>
      </x:c>
      <x:c r="J234" s="11" t="n">
        <x:f>E234/D234</x:f>
        <x:v>1</x:v>
      </x:c>
      <x:c r="K234" s="11" t="n">
        <x:f>F234/D234</x:f>
        <x:v>0</x:v>
      </x:c>
      <x:c r="L234" s="13" t="n">
        <x:f>I234/D234</x:f>
        <x:v>8.945431472081218</x:v>
      </x:c>
      <x:c r="M234" s="6" t="str">
        <x:v>Included</x:v>
      </x:c>
    </x:row>
    <x:row r="235" ht="23" customHeight="1">
      <x:c r="B235" s="12" t="str">
        <x:v>7277</x:v>
      </x:c>
      <x:c r="C235" s="6" t="str">
        <x:v>Chorley Park - SMART</x:v>
      </x:c>
      <x:c r="D235" s="6" t="n">
        <x:v>784</x:v>
      </x:c>
      <x:c r="E235" s="6" t="n">
        <x:v>784</x:v>
      </x:c>
      <x:c r="F235" s="6" t="n">
        <x:v>0</x:v>
      </x:c>
      <x:c r="G235" s="6" t="n">
        <x:v>11</x:v>
      </x:c>
      <x:c r="H235" s="6" t="n">
        <x:v>115</x:v>
      </x:c>
      <x:c r="I235" s="6" t="n">
        <x:v>12547</x:v>
      </x:c>
      <x:c r="J235" s="11" t="n">
        <x:f>E235/D235</x:f>
        <x:v>1</x:v>
      </x:c>
      <x:c r="K235" s="11" t="n">
        <x:f>F235/D235</x:f>
        <x:v>0</x:v>
      </x:c>
      <x:c r="L235" s="13" t="n">
        <x:f>I235/D235</x:f>
        <x:v>16.003826530612244</x:v>
      </x:c>
      <x:c r="M235" s="6" t="str">
        <x:v>Included</x:v>
      </x:c>
    </x:row>
    <x:row r="236" ht="23" customHeight="1">
      <x:c r="B236" s="12" t="str">
        <x:v>7278</x:v>
      </x:c>
      <x:c r="C236" s="6" t="str">
        <x:v>Mallon Ave / Jones Ave -SMART</x:v>
      </x:c>
      <x:c r="D236" s="6" t="n">
        <x:v>787</x:v>
      </x:c>
      <x:c r="E236" s="6" t="n">
        <x:v>606</x:v>
      </x:c>
      <x:c r="F236" s="6" t="n">
        <x:v>181</x:v>
      </x:c>
      <x:c r="G236" s="6" t="n">
        <x:v>11</x:v>
      </x:c>
      <x:c r="H236" s="6" t="n">
        <x:v>114</x:v>
      </x:c>
      <x:c r="I236" s="6" t="n">
        <x:v>2642</x:v>
      </x:c>
      <x:c r="J236" s="11" t="n">
        <x:f>E236/D236</x:f>
        <x:v>0.770012706480305</x:v>
      </x:c>
      <x:c r="K236" s="11" t="n">
        <x:f>F236/D236</x:f>
        <x:v>0.22998729351969505</x:v>
      </x:c>
      <x:c r="L236" s="13" t="n">
        <x:f>I236/D236</x:f>
        <x:v>3.3570520965692503</x:v>
      </x:c>
      <x:c r="M236" s="6" t="str">
        <x:v>Included</x:v>
      </x:c>
    </x:row>
    <x:row r="237" ht="23" customHeight="1">
      <x:c r="B237" s="12" t="str">
        <x:v>7279</x:v>
      </x:c>
      <x:c r="C237" s="6" t="str">
        <x:v>Rosehill Ave / Avoca Ave - SMART</x:v>
      </x:c>
      <x:c r="D237" s="6" t="n">
        <x:v>785</x:v>
      </x:c>
      <x:c r="E237" s="6" t="n">
        <x:v>785</x:v>
      </x:c>
      <x:c r="F237" s="6" t="n">
        <x:v>0</x:v>
      </x:c>
      <x:c r="G237" s="6" t="n">
        <x:v>11</x:v>
      </x:c>
      <x:c r="H237" s="6" t="n">
        <x:v>115</x:v>
      </x:c>
      <x:c r="I237" s="6" t="n">
        <x:v>11263</x:v>
      </x:c>
      <x:c r="J237" s="11" t="n">
        <x:f>E237/D237</x:f>
        <x:v>1</x:v>
      </x:c>
      <x:c r="K237" s="11" t="n">
        <x:f>F237/D237</x:f>
        <x:v>0</x:v>
      </x:c>
      <x:c r="L237" s="13" t="n">
        <x:f>I237/D237</x:f>
        <x:v>14.347770700636943</x:v>
      </x:c>
      <x:c r="M237" s="6" t="str">
        <x:v>Included</x:v>
      </x:c>
    </x:row>
    <x:row r="238" ht="23" customHeight="1">
      <x:c r="B238" s="12" t="str">
        <x:v>7281</x:v>
      </x:c>
      <x:c r="C238" s="6" t="str">
        <x:v>Charles St W / Balmuto St - SMART</x:v>
      </x:c>
      <x:c r="D238" s="6" t="n">
        <x:v>787</x:v>
      </x:c>
      <x:c r="E238" s="6" t="n">
        <x:v>787</x:v>
      </x:c>
      <x:c r="F238" s="6" t="n">
        <x:v>0</x:v>
      </x:c>
      <x:c r="G238" s="6" t="n">
        <x:v>11</x:v>
      </x:c>
      <x:c r="H238" s="6" t="n">
        <x:v>114</x:v>
      </x:c>
      <x:c r="I238" s="6" t="n">
        <x:v>15866</x:v>
      </x:c>
      <x:c r="J238" s="11" t="n">
        <x:f>E238/D238</x:f>
        <x:v>1</x:v>
      </x:c>
      <x:c r="K238" s="11" t="n">
        <x:f>F238/D238</x:f>
        <x:v>0</x:v>
      </x:c>
      <x:c r="L238" s="13" t="n">
        <x:f>I238/D238</x:f>
        <x:v>20.16010165184244</x:v>
      </x:c>
      <x:c r="M238" s="6" t="str">
        <x:v>Included</x:v>
      </x:c>
    </x:row>
    <x:row r="239" ht="23" customHeight="1">
      <x:c r="B239" s="12" t="str">
        <x:v>7282</x:v>
      </x:c>
      <x:c r="C239" s="6" t="str">
        <x:v>Adelaide St W / Bay St</x:v>
      </x:c>
      <x:c r="D239" s="6" t="n">
        <x:v>790</x:v>
      </x:c>
      <x:c r="E239" s="6" t="n">
        <x:v>743</x:v>
      </x:c>
      <x:c r="F239" s="6" t="n">
        <x:v>47</x:v>
      </x:c>
      <x:c r="G239" s="6" t="n">
        <x:v>11</x:v>
      </x:c>
      <x:c r="H239" s="6" t="n">
        <x:v>115</x:v>
      </x:c>
      <x:c r="I239" s="6" t="n">
        <x:v>9015</x:v>
      </x:c>
      <x:c r="J239" s="11" t="n">
        <x:f>E239/D239</x:f>
        <x:v>0.9405063291139241</x:v>
      </x:c>
      <x:c r="K239" s="11" t="n">
        <x:f>F239/D239</x:f>
        <x:v>0.05949367088607595</x:v>
      </x:c>
      <x:c r="L239" s="13" t="n">
        <x:f>I239/D239</x:f>
        <x:v>11.41139240506329</x:v>
      </x:c>
      <x:c r="M239" s="6" t="str">
        <x:v>Included</x:v>
      </x:c>
    </x:row>
    <x:row r="240" ht="23" customHeight="1">
      <x:c r="B240" s="12" t="str">
        <x:v>7283</x:v>
      </x:c>
      <x:c r="C240" s="6" t="str">
        <x:v>Front St W / Bay St (South Side)</x:v>
      </x:c>
      <x:c r="D240" s="6" t="n">
        <x:v>788</x:v>
      </x:c>
      <x:c r="E240" s="6" t="n">
        <x:v>719</x:v>
      </x:c>
      <x:c r="F240" s="6" t="n">
        <x:v>69</x:v>
      </x:c>
      <x:c r="G240" s="6" t="n">
        <x:v>11</x:v>
      </x:c>
      <x:c r="H240" s="6" t="n">
        <x:v>115</x:v>
      </x:c>
      <x:c r="I240" s="6" t="n">
        <x:v>8970</x:v>
      </x:c>
      <x:c r="J240" s="11" t="n">
        <x:f>E240/D240</x:f>
        <x:v>0.9124365482233503</x:v>
      </x:c>
      <x:c r="K240" s="11" t="n">
        <x:f>F240/D240</x:f>
        <x:v>0.08756345177664974</x:v>
      </x:c>
      <x:c r="L240" s="13" t="n">
        <x:f>I240/D240</x:f>
        <x:v>11.383248730964468</x:v>
      </x:c>
      <x:c r="M240" s="6" t="str">
        <x:v>Included</x:v>
      </x:c>
    </x:row>
    <x:row r="241" ht="23" customHeight="1">
      <x:c r="B241" s="12" t="str">
        <x:v>7284</x:v>
      </x:c>
      <x:c r="C241" s="6" t="str">
        <x:v>University Ave / King St W - SMART</x:v>
      </x:c>
      <x:c r="D241" s="6" t="n">
        <x:v>782</x:v>
      </x:c>
      <x:c r="E241" s="6" t="n">
        <x:v>696</x:v>
      </x:c>
      <x:c r="F241" s="6" t="n">
        <x:v>86</x:v>
      </x:c>
      <x:c r="G241" s="6" t="n">
        <x:v>11</x:v>
      </x:c>
      <x:c r="H241" s="6" t="n">
        <x:v>114</x:v>
      </x:c>
      <x:c r="I241" s="6" t="n">
        <x:v>7435</x:v>
      </x:c>
      <x:c r="J241" s="11" t="n">
        <x:f>E241/D241</x:f>
        <x:v>0.8900255754475703</x:v>
      </x:c>
      <x:c r="K241" s="11" t="n">
        <x:f>F241/D241</x:f>
        <x:v>0.10997442455242967</x:v>
      </x:c>
      <x:c r="L241" s="13" t="n">
        <x:f>I241/D241</x:f>
        <x:v>9.507672634271099</x:v>
      </x:c>
      <x:c r="M241" s="6" t="str">
        <x:v>Included</x:v>
      </x:c>
    </x:row>
    <x:row r="242" ht="23" customHeight="1">
      <x:c r="B242" s="12" t="str">
        <x:v>7285</x:v>
      </x:c>
      <x:c r="C242" s="6" t="str">
        <x:v>Spadina Ave / Harbord St - SMART</x:v>
      </x:c>
      <x:c r="D242" s="6" t="n">
        <x:v>780</x:v>
      </x:c>
      <x:c r="E242" s="6" t="n">
        <x:v>780</x:v>
      </x:c>
      <x:c r="F242" s="6" t="n">
        <x:v>0</x:v>
      </x:c>
      <x:c r="G242" s="6" t="n">
        <x:v>11</x:v>
      </x:c>
      <x:c r="H242" s="6" t="n">
        <x:v>114</x:v>
      </x:c>
      <x:c r="I242" s="6" t="n">
        <x:v>23556</x:v>
      </x:c>
      <x:c r="J242" s="11" t="n">
        <x:f>E242/D242</x:f>
        <x:v>1</x:v>
      </x:c>
      <x:c r="K242" s="11" t="n">
        <x:f>F242/D242</x:f>
        <x:v>0</x:v>
      </x:c>
      <x:c r="L242" s="13" t="n">
        <x:f>I242/D242</x:f>
        <x:v>30.2</x:v>
      </x:c>
      <x:c r="M242" s="6" t="str">
        <x:v>Included</x:v>
      </x:c>
    </x:row>
    <x:row r="243" ht="23" customHeight="1">
      <x:c r="B243" s="12" t="str">
        <x:v>7286</x:v>
      </x:c>
      <x:c r="C243" s="6" t="str">
        <x:v>Gerrard St E / Broadview Ave  - SMART</x:v>
      </x:c>
      <x:c r="D243" s="6" t="n">
        <x:v>787</x:v>
      </x:c>
      <x:c r="E243" s="6" t="n">
        <x:v>700</x:v>
      </x:c>
      <x:c r="F243" s="6" t="n">
        <x:v>87</x:v>
      </x:c>
      <x:c r="G243" s="6" t="n">
        <x:v>11</x:v>
      </x:c>
      <x:c r="H243" s="6" t="n">
        <x:v>115</x:v>
      </x:c>
      <x:c r="I243" s="6" t="n">
        <x:v>3516</x:v>
      </x:c>
      <x:c r="J243" s="11" t="n">
        <x:f>E243/D243</x:f>
        <x:v>0.8894536213468869</x:v>
      </x:c>
      <x:c r="K243" s="11" t="n">
        <x:f>F243/D243</x:f>
        <x:v>0.11054637865311309</x:v>
      </x:c>
      <x:c r="L243" s="13" t="n">
        <x:f>I243/D243</x:f>
        <x:v>4.467598475222363</x:v>
      </x:c>
      <x:c r="M243" s="6" t="str">
        <x:v>Included</x:v>
      </x:c>
    </x:row>
    <x:row r="244" ht="23" customHeight="1">
      <x:c r="B244" s="12" t="str">
        <x:v>7287</x:v>
      </x:c>
      <x:c r="C244" s="6" t="str">
        <x:v>Queen St E / Pape Ave - SMART</x:v>
      </x:c>
      <x:c r="D244" s="6" t="n">
        <x:v>780</x:v>
      </x:c>
      <x:c r="E244" s="6" t="n">
        <x:v>554</x:v>
      </x:c>
      <x:c r="F244" s="6" t="n">
        <x:v>226</x:v>
      </x:c>
      <x:c r="G244" s="6" t="n">
        <x:v>11</x:v>
      </x:c>
      <x:c r="H244" s="6" t="n">
        <x:v>115</x:v>
      </x:c>
      <x:c r="I244" s="6" t="n">
        <x:v>1940</x:v>
      </x:c>
      <x:c r="J244" s="11" t="n">
        <x:f>E244/D244</x:f>
        <x:v>0.7102564102564103</x:v>
      </x:c>
      <x:c r="K244" s="11" t="n">
        <x:f>F244/D244</x:f>
        <x:v>0.28974358974358977</x:v>
      </x:c>
      <x:c r="L244" s="13" t="n">
        <x:f>I244/D244</x:f>
        <x:v>2.4871794871794872</x:v>
      </x:c>
      <x:c r="M244" s="6" t="str">
        <x:v>Included</x:v>
      </x:c>
    </x:row>
    <x:row r="245" ht="23" customHeight="1">
      <x:c r="B245" s="12" t="str">
        <x:v>7288</x:v>
      </x:c>
      <x:c r="C245" s="6" t="str">
        <x:v>Humber Bay Shores Park West</x:v>
      </x:c>
      <x:c r="D245" s="6" t="n">
        <x:v>785</x:v>
      </x:c>
      <x:c r="E245" s="6" t="n">
        <x:v>698</x:v>
      </x:c>
      <x:c r="F245" s="6" t="n">
        <x:v>87</x:v>
      </x:c>
      <x:c r="G245" s="6" t="n">
        <x:v>11</x:v>
      </x:c>
      <x:c r="H245" s="6" t="n">
        <x:v>114</x:v>
      </x:c>
      <x:c r="I245" s="6" t="n">
        <x:v>7357</x:v>
      </x:c>
      <x:c r="J245" s="11" t="n">
        <x:f>E245/D245</x:f>
        <x:v>0.889171974522293</x:v>
      </x:c>
      <x:c r="K245" s="11" t="n">
        <x:f>F245/D245</x:f>
        <x:v>0.11082802547770701</x:v>
      </x:c>
      <x:c r="L245" s="13" t="n">
        <x:f>I245/D245</x:f>
        <x:v>9.371974522292994</x:v>
      </x:c>
      <x:c r="M245" s="6" t="str">
        <x:v>Included</x:v>
      </x:c>
    </x:row>
    <x:row r="246" ht="23" customHeight="1">
      <x:c r="B246" s="12" t="str">
        <x:v>7289</x:v>
      </x:c>
      <x:c r="C246" s="6" t="str">
        <x:v>Humber Bay Shores Park East</x:v>
      </x:c>
      <x:c r="D246" s="6" t="n">
        <x:v>790</x:v>
      </x:c>
      <x:c r="E246" s="6" t="n">
        <x:v>657</x:v>
      </x:c>
      <x:c r="F246" s="6" t="n">
        <x:v>133</x:v>
      </x:c>
      <x:c r="G246" s="6" t="n">
        <x:v>11</x:v>
      </x:c>
      <x:c r="H246" s="6" t="n">
        <x:v>115</x:v>
      </x:c>
      <x:c r="I246" s="6" t="n">
        <x:v>3245</x:v>
      </x:c>
      <x:c r="J246" s="11" t="n">
        <x:f>E246/D246</x:f>
        <x:v>0.8316455696202532</x:v>
      </x:c>
      <x:c r="K246" s="11" t="n">
        <x:f>F246/D246</x:f>
        <x:v>0.16835443037974684</x:v>
      </x:c>
      <x:c r="L246" s="13" t="n">
        <x:f>I246/D246</x:f>
        <x:v>4.1075949367088604</x:v>
      </x:c>
      <x:c r="M246" s="6" t="str">
        <x:v>Included</x:v>
      </x:c>
    </x:row>
    <x:row r="247" ht="23" customHeight="1">
      <x:c r="B247" s="12" t="str">
        <x:v>7290</x:v>
      </x:c>
      <x:c r="C247" s="6" t="str">
        <x:v>Base Station Upstairs</x:v>
      </x:c>
      <x:c r="D247" s="6" t="n">
        <x:v>1</x:v>
      </x:c>
      <x:c r="E247" s="6" t="n">
        <x:v>0</x:v>
      </x:c>
      <x:c r="F247" s="6" t="n">
        <x:v>1</x:v>
      </x:c>
      <x:c r="G247" s="6" t="n">
        <x:v>1</x:v>
      </x:c>
      <x:c r="H247" s="6" t="n">
        <x:v>1</x:v>
      </x:c>
      <x:c r="I247" s="6" t="n">
        <x:v>0</x:v>
      </x:c>
      <x:c r="J247" s="11" t="n">
        <x:f>E247/D247</x:f>
        <x:v>0</x:v>
      </x:c>
      <x:c r="K247" s="11" t="n">
        <x:f>F247/D247</x:f>
        <x:v>1</x:v>
      </x:c>
      <x:c r="L247" s="13" t="n">
        <x:f>I247/D247</x:f>
        <x:v>0</x:v>
      </x:c>
      <x:c r="M247" s="6" t="str">
        <x:v>Low support</x:v>
      </x:c>
    </x:row>
    <x:row r="248" ht="23" customHeight="1">
      <x:c r="B248" s="12" t="str">
        <x:v>7291</x:v>
      </x:c>
      <x:c r="C248" s="6" t="str">
        <x:v>190 Queens Quay E</x:v>
      </x:c>
      <x:c r="D248" s="6" t="n">
        <x:v>790</x:v>
      </x:c>
      <x:c r="E248" s="6" t="n">
        <x:v>748</x:v>
      </x:c>
      <x:c r="F248" s="6" t="n">
        <x:v>42</x:v>
      </x:c>
      <x:c r="G248" s="6" t="n">
        <x:v>11</x:v>
      </x:c>
      <x:c r="H248" s="6" t="n">
        <x:v>114</x:v>
      </x:c>
      <x:c r="I248" s="6" t="n">
        <x:v>3746</x:v>
      </x:c>
      <x:c r="J248" s="11" t="n">
        <x:f>E248/D248</x:f>
        <x:v>0.9468354430379747</x:v>
      </x:c>
      <x:c r="K248" s="11" t="n">
        <x:f>F248/D248</x:f>
        <x:v>0.053164556962025315</x:v>
      </x:c>
      <x:c r="L248" s="13" t="n">
        <x:f>I248/D248</x:f>
        <x:v>4.741772151898735</x:v>
      </x:c>
      <x:c r="M248" s="6" t="str">
        <x:v>Included</x:v>
      </x:c>
    </x:row>
    <x:row r="249" ht="23" customHeight="1">
      <x:c r="B249" s="12" t="str">
        <x:v>7292</x:v>
      </x:c>
      <x:c r="C249" s="6" t="str">
        <x:v>Granby St / Church St - SMART</x:v>
      </x:c>
      <x:c r="D249" s="6" t="n">
        <x:v>789</x:v>
      </x:c>
      <x:c r="E249" s="6" t="n">
        <x:v>789</x:v>
      </x:c>
      <x:c r="F249" s="6" t="n">
        <x:v>0</x:v>
      </x:c>
      <x:c r="G249" s="6" t="n">
        <x:v>11</x:v>
      </x:c>
      <x:c r="H249" s="6" t="n">
        <x:v>115</x:v>
      </x:c>
      <x:c r="I249" s="6" t="n">
        <x:v>14672</x:v>
      </x:c>
      <x:c r="J249" s="11" t="n">
        <x:f>E249/D249</x:f>
        <x:v>1</x:v>
      </x:c>
      <x:c r="K249" s="11" t="n">
        <x:f>F249/D249</x:f>
        <x:v>0</x:v>
      </x:c>
      <x:c r="L249" s="13" t="n">
        <x:f>I249/D249</x:f>
        <x:v>18.595690747782</x:v>
      </x:c>
      <x:c r="M249" s="6" t="str">
        <x:v>Included</x:v>
      </x:c>
    </x:row>
    <x:row r="250" ht="23" customHeight="1">
      <x:c r="B250" s="12" t="str">
        <x:v>7296</x:v>
      </x:c>
      <x:c r="C250" s="6" t="str">
        <x:v>Westmoreland Ave / Fernbank Ave</x:v>
      </x:c>
      <x:c r="D250" s="6" t="n">
        <x:v>781</x:v>
      </x:c>
      <x:c r="E250" s="6" t="n">
        <x:v>781</x:v>
      </x:c>
      <x:c r="F250" s="6" t="n">
        <x:v>0</x:v>
      </x:c>
      <x:c r="G250" s="6" t="n">
        <x:v>11</x:v>
      </x:c>
      <x:c r="H250" s="6" t="n">
        <x:v>115</x:v>
      </x:c>
      <x:c r="I250" s="6" t="n">
        <x:v>10047</x:v>
      </x:c>
      <x:c r="J250" s="11" t="n">
        <x:f>E250/D250</x:f>
        <x:v>1</x:v>
      </x:c>
      <x:c r="K250" s="11" t="n">
        <x:f>F250/D250</x:f>
        <x:v>0</x:v>
      </x:c>
      <x:c r="L250" s="13" t="n">
        <x:f>I250/D250</x:f>
        <x:v>12.864276568501921</x:v>
      </x:c>
      <x:c r="M250" s="6" t="str">
        <x:v>Included</x:v>
      </x:c>
    </x:row>
    <x:row r="251" ht="23" customHeight="1">
      <x:c r="B251" s="12" t="str">
        <x:v>7297</x:v>
      </x:c>
      <x:c r="C251" s="6" t="str">
        <x:v>Havelock St / Dufferin Park</x:v>
      </x:c>
      <x:c r="D251" s="6" t="n">
        <x:v>788</x:v>
      </x:c>
      <x:c r="E251" s="6" t="n">
        <x:v>769</x:v>
      </x:c>
      <x:c r="F251" s="6" t="n">
        <x:v>19</x:v>
      </x:c>
      <x:c r="G251" s="6" t="n">
        <x:v>11</x:v>
      </x:c>
      <x:c r="H251" s="6" t="n">
        <x:v>114</x:v>
      </x:c>
      <x:c r="I251" s="6" t="n">
        <x:v>11805</x:v>
      </x:c>
      <x:c r="J251" s="11" t="n">
        <x:f>E251/D251</x:f>
        <x:v>0.9758883248730964</x:v>
      </x:c>
      <x:c r="K251" s="11" t="n">
        <x:f>F251/D251</x:f>
        <x:v>0.024111675126903553</x:v>
      </x:c>
      <x:c r="L251" s="13" t="n">
        <x:f>I251/D251</x:f>
        <x:v>14.980964467005077</x:v>
      </x:c>
      <x:c r="M251" s="6" t="str">
        <x:v>Included</x:v>
      </x:c>
    </x:row>
    <x:row r="252" ht="23" customHeight="1">
      <x:c r="B252" s="12" t="str">
        <x:v>7298</x:v>
      </x:c>
      <x:c r="C252" s="6" t="str">
        <x:v>Bathurst St / Adelaide St W</x:v>
      </x:c>
      <x:c r="D252" s="6" t="n">
        <x:v>783</x:v>
      </x:c>
      <x:c r="E252" s="6" t="n">
        <x:v>646</x:v>
      </x:c>
      <x:c r="F252" s="6" t="n">
        <x:v>137</x:v>
      </x:c>
      <x:c r="G252" s="6" t="n">
        <x:v>11</x:v>
      </x:c>
      <x:c r="H252" s="6" t="n">
        <x:v>115</x:v>
      </x:c>
      <x:c r="I252" s="6" t="n">
        <x:v>8181</x:v>
      </x:c>
      <x:c r="J252" s="11" t="n">
        <x:f>E252/D252</x:f>
        <x:v>0.8250319284802043</x:v>
      </x:c>
      <x:c r="K252" s="11" t="n">
        <x:f>F252/D252</x:f>
        <x:v>0.17496807151979565</x:v>
      </x:c>
      <x:c r="L252" s="13" t="n">
        <x:f>I252/D252</x:f>
        <x:v>10.448275862068966</x:v>
      </x:c>
      <x:c r="M252" s="6" t="str">
        <x:v>Included</x:v>
      </x:c>
    </x:row>
    <x:row r="253" ht="23" customHeight="1">
      <x:c r="B253" s="12" t="str">
        <x:v>7299</x:v>
      </x:c>
      <x:c r="C253" s="6" t="str">
        <x:v>Mill St / Parliament St</x:v>
      </x:c>
      <x:c r="D253" s="6" t="n">
        <x:v>792</x:v>
      </x:c>
      <x:c r="E253" s="6" t="n">
        <x:v>628</x:v>
      </x:c>
      <x:c r="F253" s="6" t="n">
        <x:v>164</x:v>
      </x:c>
      <x:c r="G253" s="6" t="n">
        <x:v>11</x:v>
      </x:c>
      <x:c r="H253" s="6" t="n">
        <x:v>114</x:v>
      </x:c>
      <x:c r="I253" s="6" t="n">
        <x:v>3790</x:v>
      </x:c>
      <x:c r="J253" s="11" t="n">
        <x:f>E253/D253</x:f>
        <x:v>0.7929292929292929</x:v>
      </x:c>
      <x:c r="K253" s="11" t="n">
        <x:f>F253/D253</x:f>
        <x:v>0.20707070707070707</x:v>
      </x:c>
      <x:c r="L253" s="13" t="n">
        <x:f>I253/D253</x:f>
        <x:v>4.7853535353535355</x:v>
      </x:c>
      <x:c r="M253" s="6" t="str">
        <x:v>Included</x:v>
      </x:c>
    </x:row>
    <x:row r="254" ht="23" customHeight="1">
      <x:c r="B254" s="12" t="str">
        <x:v>7301</x:v>
      </x:c>
      <x:c r="C254" s="6" t="str">
        <x:v>Primrose Ave / Davenport Rd</x:v>
      </x:c>
      <x:c r="D254" s="6" t="n">
        <x:v>788</x:v>
      </x:c>
      <x:c r="E254" s="6" t="n">
        <x:v>788</x:v>
      </x:c>
      <x:c r="F254" s="6" t="n">
        <x:v>0</x:v>
      </x:c>
      <x:c r="G254" s="6" t="n">
        <x:v>11</x:v>
      </x:c>
      <x:c r="H254" s="6" t="n">
        <x:v>115</x:v>
      </x:c>
      <x:c r="I254" s="6" t="n">
        <x:v>10126</x:v>
      </x:c>
      <x:c r="J254" s="11" t="n">
        <x:f>E254/D254</x:f>
        <x:v>1</x:v>
      </x:c>
      <x:c r="K254" s="11" t="n">
        <x:f>F254/D254</x:f>
        <x:v>0</x:v>
      </x:c>
      <x:c r="L254" s="13" t="n">
        <x:f>I254/D254</x:f>
        <x:v>12.850253807106599</x:v>
      </x:c>
      <x:c r="M254" s="6" t="str">
        <x:v>Included</x:v>
      </x:c>
    </x:row>
    <x:row r="255" ht="23" customHeight="1">
      <x:c r="B255" s="12" t="str">
        <x:v>7302</x:v>
      </x:c>
      <x:c r="C255" s="6" t="str">
        <x:v>Winona Dr / Davenport Rd</x:v>
      </x:c>
      <x:c r="D255" s="6" t="n">
        <x:v>781</x:v>
      </x:c>
      <x:c r="E255" s="6" t="n">
        <x:v>712</x:v>
      </x:c>
      <x:c r="F255" s="6" t="n">
        <x:v>69</x:v>
      </x:c>
      <x:c r="G255" s="6" t="n">
        <x:v>11</x:v>
      </x:c>
      <x:c r="H255" s="6" t="n">
        <x:v>114</x:v>
      </x:c>
      <x:c r="I255" s="6" t="n">
        <x:v>5534</x:v>
      </x:c>
      <x:c r="J255" s="11" t="n">
        <x:f>E255/D255</x:f>
        <x:v>0.911651728553137</x:v>
      </x:c>
      <x:c r="K255" s="11" t="n">
        <x:f>F255/D255</x:f>
        <x:v>0.088348271446863</x:v>
      </x:c>
      <x:c r="L255" s="13" t="n">
        <x:f>I255/D255</x:f>
        <x:v>7.085787451984635</x:v>
      </x:c>
      <x:c r="M255" s="6" t="str">
        <x:v>Included</x:v>
      </x:c>
    </x:row>
    <x:row r="256" ht="23" customHeight="1">
      <x:c r="B256" s="12" t="str">
        <x:v>7303</x:v>
      </x:c>
      <x:c r="C256" s="6" t="str">
        <x:v>Queen St E / Woodward Ave</x:v>
      </x:c>
      <x:c r="D256" s="6" t="n">
        <x:v>791</x:v>
      </x:c>
      <x:c r="E256" s="6" t="n">
        <x:v>687</x:v>
      </x:c>
      <x:c r="F256" s="6" t="n">
        <x:v>104</x:v>
      </x:c>
      <x:c r="G256" s="6" t="n">
        <x:v>11</x:v>
      </x:c>
      <x:c r="H256" s="6" t="n">
        <x:v>116</x:v>
      </x:c>
      <x:c r="I256" s="6" t="n">
        <x:v>4098</x:v>
      </x:c>
      <x:c r="J256" s="11" t="n">
        <x:f>E256/D256</x:f>
        <x:v>0.8685208596713021</x:v>
      </x:c>
      <x:c r="K256" s="11" t="n">
        <x:f>F256/D256</x:f>
        <x:v>0.13147914032869784</x:v>
      </x:c>
      <x:c r="L256" s="13" t="n">
        <x:f>I256/D256</x:f>
        <x:v>5.180783817951959</x:v>
      </x:c>
      <x:c r="M256" s="6" t="str">
        <x:v>Included</x:v>
      </x:c>
    </x:row>
    <x:row r="257" ht="23" customHeight="1">
      <x:c r="B257" s="12" t="str">
        <x:v>7309</x:v>
      </x:c>
      <x:c r="C257" s="6" t="str">
        <x:v>Queen St E / Rhodes Ave</x:v>
      </x:c>
      <x:c r="D257" s="6" t="n">
        <x:v>786</x:v>
      </x:c>
      <x:c r="E257" s="6" t="n">
        <x:v>677</x:v>
      </x:c>
      <x:c r="F257" s="6" t="n">
        <x:v>109</x:v>
      </x:c>
      <x:c r="G257" s="6" t="n">
        <x:v>11</x:v>
      </x:c>
      <x:c r="H257" s="6" t="n">
        <x:v>115</x:v>
      </x:c>
      <x:c r="I257" s="6" t="n">
        <x:v>2312</x:v>
      </x:c>
      <x:c r="J257" s="11" t="n">
        <x:f>E257/D257</x:f>
        <x:v>0.861323155216285</x:v>
      </x:c>
      <x:c r="K257" s="11" t="n">
        <x:f>F257/D257</x:f>
        <x:v>0.138676844783715</x:v>
      </x:c>
      <x:c r="L257" s="13" t="n">
        <x:f>I257/D257</x:f>
        <x:v>2.94147582697201</x:v>
      </x:c>
      <x:c r="M257" s="6" t="str">
        <x:v>Included</x:v>
      </x:c>
    </x:row>
    <x:row r="258" ht="23" customHeight="1">
      <x:c r="B258" s="12" t="str">
        <x:v>7311</x:v>
      </x:c>
      <x:c r="C258" s="6" t="str">
        <x:v>Sherbourne St / Isabella St</x:v>
      </x:c>
      <x:c r="D258" s="6" t="n">
        <x:v>783</x:v>
      </x:c>
      <x:c r="E258" s="6" t="n">
        <x:v>768</x:v>
      </x:c>
      <x:c r="F258" s="6" t="n">
        <x:v>15</x:v>
      </x:c>
      <x:c r="G258" s="6" t="n">
        <x:v>11</x:v>
      </x:c>
      <x:c r="H258" s="6" t="n">
        <x:v>114</x:v>
      </x:c>
      <x:c r="I258" s="6" t="n">
        <x:v>10597</x:v>
      </x:c>
      <x:c r="J258" s="11" t="n">
        <x:f>E258/D258</x:f>
        <x:v>0.9808429118773946</x:v>
      </x:c>
      <x:c r="K258" s="11" t="n">
        <x:f>F258/D258</x:f>
        <x:v>0.019157088122605363</x:v>
      </x:c>
      <x:c r="L258" s="13" t="n">
        <x:f>I258/D258</x:f>
        <x:v>13.533844189016603</x:v>
      </x:c>
      <x:c r="M258" s="6" t="str">
        <x:v>Included</x:v>
      </x:c>
    </x:row>
    <x:row r="259" ht="23" customHeight="1">
      <x:c r="B259" s="12" t="str">
        <x:v>7312</x:v>
      </x:c>
      <x:c r="C259" s="6" t="str">
        <x:v>Amelia St / Sumach St</x:v>
      </x:c>
      <x:c r="D259" s="6" t="n">
        <x:v>787</x:v>
      </x:c>
      <x:c r="E259" s="6" t="n">
        <x:v>787</x:v>
      </x:c>
      <x:c r="F259" s="6" t="n">
        <x:v>0</x:v>
      </x:c>
      <x:c r="G259" s="6" t="n">
        <x:v>11</x:v>
      </x:c>
      <x:c r="H259" s="6" t="n">
        <x:v>115</x:v>
      </x:c>
      <x:c r="I259" s="6" t="n">
        <x:v>5612</x:v>
      </x:c>
      <x:c r="J259" s="11" t="n">
        <x:f>E259/D259</x:f>
        <x:v>1</x:v>
      </x:c>
      <x:c r="K259" s="11" t="n">
        <x:f>F259/D259</x:f>
        <x:v>0</x:v>
      </x:c>
      <x:c r="L259" s="13" t="n">
        <x:f>I259/D259</x:f>
        <x:v>7.130876747141042</x:v>
      </x:c>
      <x:c r="M259" s="6" t="str">
        <x:v>Included</x:v>
      </x:c>
    </x:row>
    <x:row r="260" ht="23" customHeight="1">
      <x:c r="B260" s="12" t="str">
        <x:v>7313</x:v>
      </x:c>
      <x:c r="C260" s="6" t="str">
        <x:v>Emdaabiimok Ave / Lake Shore Blvd E</x:v>
      </x:c>
      <x:c r="D260" s="6" t="n">
        <x:v>790</x:v>
      </x:c>
      <x:c r="E260" s="6" t="n">
        <x:v>737</x:v>
      </x:c>
      <x:c r="F260" s="6" t="n">
        <x:v>53</x:v>
      </x:c>
      <x:c r="G260" s="6" t="n">
        <x:v>11</x:v>
      </x:c>
      <x:c r="H260" s="6" t="n">
        <x:v>115</x:v>
      </x:c>
      <x:c r="I260" s="6" t="n">
        <x:v>7219</x:v>
      </x:c>
      <x:c r="J260" s="11" t="n">
        <x:f>E260/D260</x:f>
        <x:v>0.9329113924050633</x:v>
      </x:c>
      <x:c r="K260" s="11" t="n">
        <x:f>F260/D260</x:f>
        <x:v>0.0670886075949367</x:v>
      </x:c>
      <x:c r="L260" s="13" t="n">
        <x:f>I260/D260</x:f>
        <x:v>9.137974683544304</x:v>
      </x:c>
      <x:c r="M260" s="6" t="str">
        <x:v>Included</x:v>
      </x:c>
    </x:row>
    <x:row r="261" ht="23" customHeight="1">
      <x:c r="B261" s="12" t="str">
        <x:v>7314</x:v>
      </x:c>
      <x:c r="C261" s="6" t="str">
        <x:v>Queen St. E / Eastern Ave</x:v>
      </x:c>
      <x:c r="D261" s="6" t="n">
        <x:v>796</x:v>
      </x:c>
      <x:c r="E261" s="6" t="n">
        <x:v>708</x:v>
      </x:c>
      <x:c r="F261" s="6" t="n">
        <x:v>88</x:v>
      </x:c>
      <x:c r="G261" s="6" t="n">
        <x:v>11</x:v>
      </x:c>
      <x:c r="H261" s="6" t="n">
        <x:v>116</x:v>
      </x:c>
      <x:c r="I261" s="6" t="n">
        <x:v>2965</x:v>
      </x:c>
      <x:c r="J261" s="11" t="n">
        <x:f>E261/D261</x:f>
        <x:v>0.8894472361809045</x:v>
      </x:c>
      <x:c r="K261" s="11" t="n">
        <x:f>F261/D261</x:f>
        <x:v>0.11055276381909548</x:v>
      </x:c>
      <x:c r="L261" s="13" t="n">
        <x:f>I261/D261</x:f>
        <x:v>3.7248743718592965</x:v>
      </x:c>
      <x:c r="M261" s="6" t="str">
        <x:v>Included</x:v>
      </x:c>
    </x:row>
    <x:row r="262" ht="23" customHeight="1">
      <x:c r="B262" s="12" t="str">
        <x:v>7315</x:v>
      </x:c>
      <x:c r="C262" s="6" t="str">
        <x:v>Queen St E / Hammersmith Ave</x:v>
      </x:c>
      <x:c r="D262" s="6" t="n">
        <x:v>782</x:v>
      </x:c>
      <x:c r="E262" s="6" t="n">
        <x:v>339</x:v>
      </x:c>
      <x:c r="F262" s="6" t="n">
        <x:v>443</x:v>
      </x:c>
      <x:c r="G262" s="6" t="n">
        <x:v>11</x:v>
      </x:c>
      <x:c r="H262" s="6" t="n">
        <x:v>113</x:v>
      </x:c>
      <x:c r="I262" s="6" t="n">
        <x:v>766</x:v>
      </x:c>
      <x:c r="J262" s="11" t="n">
        <x:f>E262/D262</x:f>
        <x:v>0.43350383631713557</x:v>
      </x:c>
      <x:c r="K262" s="11" t="n">
        <x:f>F262/D262</x:f>
        <x:v>0.5664961636828645</x:v>
      </x:c>
      <x:c r="L262" s="13" t="n">
        <x:f>I262/D262</x:f>
        <x:v>0.979539641943734</x:v>
      </x:c>
      <x:c r="M262" s="6" t="str">
        <x:v>Included</x:v>
      </x:c>
    </x:row>
    <x:row r="263" ht="23" customHeight="1">
      <x:c r="B263" s="12" t="str">
        <x:v>7316</x:v>
      </x:c>
      <x:c r="C263" s="6" t="str">
        <x:v>Queen St. E / Spruce Hill Rd.</x:v>
      </x:c>
      <x:c r="D263" s="6" t="n">
        <x:v>782</x:v>
      </x:c>
      <x:c r="E263" s="6" t="n">
        <x:v>546</x:v>
      </x:c>
      <x:c r="F263" s="6" t="n">
        <x:v>236</x:v>
      </x:c>
      <x:c r="G263" s="6" t="n">
        <x:v>11</x:v>
      </x:c>
      <x:c r="H263" s="6" t="n">
        <x:v>114</x:v>
      </x:c>
      <x:c r="I263" s="6" t="n">
        <x:v>1294</x:v>
      </x:c>
      <x:c r="J263" s="11" t="n">
        <x:f>E263/D263</x:f>
        <x:v>0.6982097186700768</x:v>
      </x:c>
      <x:c r="K263" s="11" t="n">
        <x:f>F263/D263</x:f>
        <x:v>0.30179028132992325</x:v>
      </x:c>
      <x:c r="L263" s="13" t="n">
        <x:f>I263/D263</x:f>
        <x:v>1.6547314578005115</x:v>
      </x:c>
      <x:c r="M263" s="6" t="str">
        <x:v>Included</x:v>
      </x:c>
    </x:row>
    <x:row r="264" ht="23" customHeight="1">
      <x:c r="B264" s="12" t="str">
        <x:v>7317</x:v>
      </x:c>
      <x:c r="C264" s="6" t="str">
        <x:v>Hubbard Blvd / Balsam Av</x:v>
      </x:c>
      <x:c r="D264" s="6" t="n">
        <x:v>783</x:v>
      </x:c>
      <x:c r="E264" s="6" t="n">
        <x:v>588</x:v>
      </x:c>
      <x:c r="F264" s="6" t="n">
        <x:v>195</x:v>
      </x:c>
      <x:c r="G264" s="6" t="n">
        <x:v>11</x:v>
      </x:c>
      <x:c r="H264" s="6" t="n">
        <x:v>113</x:v>
      </x:c>
      <x:c r="I264" s="6" t="n">
        <x:v>5658</x:v>
      </x:c>
      <x:c r="J264" s="11" t="n">
        <x:f>E264/D264</x:f>
        <x:v>0.7509578544061303</x:v>
      </x:c>
      <x:c r="K264" s="11" t="n">
        <x:f>F264/D264</x:f>
        <x:v>0.24904214559386972</x:v>
      </x:c>
      <x:c r="L264" s="13" t="n">
        <x:f>I264/D264</x:f>
        <x:v>7.226053639846743</x:v>
      </x:c>
      <x:c r="M264" s="6" t="str">
        <x:v>Included</x:v>
      </x:c>
    </x:row>
    <x:row r="265" ht="23" customHeight="1">
      <x:c r="B265" s="12" t="str">
        <x:v>7318</x:v>
      </x:c>
      <x:c r="C265" s="6" t="str">
        <x:v>Hubbard Blvd / Glen Manor Dr</x:v>
      </x:c>
      <x:c r="D265" s="6" t="n">
        <x:v>797</x:v>
      </x:c>
      <x:c r="E265" s="6" t="n">
        <x:v>504</x:v>
      </x:c>
      <x:c r="F265" s="6" t="n">
        <x:v>293</x:v>
      </x:c>
      <x:c r="G265" s="6" t="n">
        <x:v>11</x:v>
      </x:c>
      <x:c r="H265" s="6" t="n">
        <x:v>114</x:v>
      </x:c>
      <x:c r="I265" s="6" t="n">
        <x:v>4875</x:v>
      </x:c>
      <x:c r="J265" s="11" t="n">
        <x:f>E265/D265</x:f>
        <x:v>0.6323713927227101</x:v>
      </x:c>
      <x:c r="K265" s="11" t="n">
        <x:f>F265/D265</x:f>
        <x:v>0.36762860727728985</x:v>
      </x:c>
      <x:c r="L265" s="13" t="n">
        <x:f>I265/D265</x:f>
        <x:v>6.1166875784190715</x:v>
      </x:c>
      <x:c r="M265" s="6" t="str">
        <x:v>Included</x:v>
      </x:c>
    </x:row>
    <x:row r="266" ht="23" customHeight="1">
      <x:c r="B266" s="12" t="str">
        <x:v>7319</x:v>
      </x:c>
      <x:c r="C266" s="6" t="str">
        <x:v>Lake Shore Blvd E / Knox Ave</x:v>
      </x:c>
      <x:c r="D266" s="6" t="n">
        <x:v>785</x:v>
      </x:c>
      <x:c r="E266" s="6" t="n">
        <x:v>468</x:v>
      </x:c>
      <x:c r="F266" s="6" t="n">
        <x:v>317</x:v>
      </x:c>
      <x:c r="G266" s="6" t="n">
        <x:v>11</x:v>
      </x:c>
      <x:c r="H266" s="6" t="n">
        <x:v>115</x:v>
      </x:c>
      <x:c r="I266" s="6" t="n">
        <x:v>768</x:v>
      </x:c>
      <x:c r="J266" s="11" t="n">
        <x:f>E266/D266</x:f>
        <x:v>0.5961783439490446</x:v>
      </x:c>
      <x:c r="K266" s="11" t="n">
        <x:f>F266/D266</x:f>
        <x:v>0.40382165605095544</x:v>
      </x:c>
      <x:c r="L266" s="13" t="n">
        <x:f>I266/D266</x:f>
        <x:v>0.978343949044586</x:v>
      </x:c>
      <x:c r="M266" s="6" t="str">
        <x:v>Included</x:v>
      </x:c>
    </x:row>
    <x:row r="267" ht="23" customHeight="1">
      <x:c r="B267" s="12" t="str">
        <x:v>7320</x:v>
      </x:c>
      <x:c r="C267" s="6" t="str">
        <x:v>Front St W / University Ave (1)</x:v>
      </x:c>
      <x:c r="D267" s="6" t="n">
        <x:v>785</x:v>
      </x:c>
      <x:c r="E267" s="6" t="n">
        <x:v>508</x:v>
      </x:c>
      <x:c r="F267" s="6" t="n">
        <x:v>277</x:v>
      </x:c>
      <x:c r="G267" s="6" t="n">
        <x:v>11</x:v>
      </x:c>
      <x:c r="H267" s="6" t="n">
        <x:v>114</x:v>
      </x:c>
      <x:c r="I267" s="6" t="n">
        <x:v>3779</x:v>
      </x:c>
      <x:c r="J267" s="11" t="n">
        <x:f>E267/D267</x:f>
        <x:v>0.6471337579617834</x:v>
      </x:c>
      <x:c r="K267" s="11" t="n">
        <x:f>F267/D267</x:f>
        <x:v>0.35286624203821654</x:v>
      </x:c>
      <x:c r="L267" s="13" t="n">
        <x:f>I267/D267</x:f>
        <x:v>4.814012738853503</x:v>
      </x:c>
      <x:c r="M267" s="6" t="str">
        <x:v>Included</x:v>
      </x:c>
    </x:row>
    <x:row r="268" ht="23" customHeight="1">
      <x:c r="B268" s="12" t="str">
        <x:v>7321</x:v>
      </x:c>
      <x:c r="C268" s="6" t="str">
        <x:v>Front St W / University Ave (2)</x:v>
      </x:c>
      <x:c r="D268" s="6" t="n">
        <x:v>783</x:v>
      </x:c>
      <x:c r="E268" s="6" t="n">
        <x:v>613</x:v>
      </x:c>
      <x:c r="F268" s="6" t="n">
        <x:v>170</x:v>
      </x:c>
      <x:c r="G268" s="6" t="n">
        <x:v>11</x:v>
      </x:c>
      <x:c r="H268" s="6" t="n">
        <x:v>114</x:v>
      </x:c>
      <x:c r="I268" s="6" t="n">
        <x:v>5089</x:v>
      </x:c>
      <x:c r="J268" s="11" t="n">
        <x:f>E268/D268</x:f>
        <x:v>0.7828863346104725</x:v>
      </x:c>
      <x:c r="K268" s="11" t="n">
        <x:f>F268/D268</x:f>
        <x:v>0.21711366538952745</x:v>
      </x:c>
      <x:c r="L268" s="13" t="n">
        <x:f>I268/D268</x:f>
        <x:v>6.499361430395913</x:v>
      </x:c>
      <x:c r="M268" s="6" t="str">
        <x:v>Included</x:v>
      </x:c>
    </x:row>
    <x:row r="269" ht="23" customHeight="1">
      <x:c r="B269" s="12" t="str">
        <x:v>7322</x:v>
      </x:c>
      <x:c r="C269" s="6" t="str">
        <x:v>East Liberty St / Western Battery Rd</x:v>
      </x:c>
      <x:c r="D269" s="6" t="n">
        <x:v>784</x:v>
      </x:c>
      <x:c r="E269" s="6" t="n">
        <x:v>665</x:v>
      </x:c>
      <x:c r="F269" s="6" t="n">
        <x:v>119</x:v>
      </x:c>
      <x:c r="G269" s="6" t="n">
        <x:v>11</x:v>
      </x:c>
      <x:c r="H269" s="6" t="n">
        <x:v>114</x:v>
      </x:c>
      <x:c r="I269" s="6" t="n">
        <x:v>6623</x:v>
      </x:c>
      <x:c r="J269" s="11" t="n">
        <x:f>E269/D269</x:f>
        <x:v>0.8482142857142857</x:v>
      </x:c>
      <x:c r="K269" s="11" t="n">
        <x:f>F269/D269</x:f>
        <x:v>0.15178571428571427</x:v>
      </x:c>
      <x:c r="L269" s="13" t="n">
        <x:f>I269/D269</x:f>
        <x:v>8.447704081632653</x:v>
      </x:c>
      <x:c r="M269" s="6" t="str">
        <x:v>Included</x:v>
      </x:c>
    </x:row>
    <x:row r="270" ht="23" customHeight="1">
      <x:c r="B270" s="12" t="str">
        <x:v>7323</x:v>
      </x:c>
      <x:c r="C270" s="6" t="str">
        <x:v>457 King St W</x:v>
      </x:c>
      <x:c r="D270" s="6" t="n">
        <x:v>785</x:v>
      </x:c>
      <x:c r="E270" s="6" t="n">
        <x:v>684</x:v>
      </x:c>
      <x:c r="F270" s="6" t="n">
        <x:v>101</x:v>
      </x:c>
      <x:c r="G270" s="6" t="n">
        <x:v>11</x:v>
      </x:c>
      <x:c r="H270" s="6" t="n">
        <x:v>114</x:v>
      </x:c>
      <x:c r="I270" s="6" t="n">
        <x:v>3369</x:v>
      </x:c>
      <x:c r="J270" s="11" t="n">
        <x:f>E270/D270</x:f>
        <x:v>0.8713375796178344</x:v>
      </x:c>
      <x:c r="K270" s="11" t="n">
        <x:f>F270/D270</x:f>
        <x:v>0.1286624203821656</x:v>
      </x:c>
      <x:c r="L270" s="13" t="n">
        <x:f>I270/D270</x:f>
        <x:v>4.29171974522293</x:v>
      </x:c>
      <x:c r="M270" s="6" t="str">
        <x:v>Included</x:v>
      </x:c>
    </x:row>
    <x:row r="271" ht="23" customHeight="1">
      <x:c r="B271" s="12" t="str">
        <x:v>7324</x:v>
      </x:c>
      <x:c r="C271" s="6" t="str">
        <x:v>King St W / Charlotte St</x:v>
      </x:c>
      <x:c r="D271" s="6" t="n">
        <x:v>774</x:v>
      </x:c>
      <x:c r="E271" s="6" t="n">
        <x:v>639</x:v>
      </x:c>
      <x:c r="F271" s="6" t="n">
        <x:v>135</x:v>
      </x:c>
      <x:c r="G271" s="6" t="n">
        <x:v>11</x:v>
      </x:c>
      <x:c r="H271" s="6" t="n">
        <x:v>115</x:v>
      </x:c>
      <x:c r="I271" s="6" t="n">
        <x:v>5262</x:v>
      </x:c>
      <x:c r="J271" s="11" t="n">
        <x:f>E271/D271</x:f>
        <x:v>0.8255813953488372</x:v>
      </x:c>
      <x:c r="K271" s="11" t="n">
        <x:f>F271/D271</x:f>
        <x:v>0.1744186046511628</x:v>
      </x:c>
      <x:c r="L271" s="13" t="n">
        <x:f>I271/D271</x:f>
        <x:v>6.7984496124031</x:v>
      </x:c>
      <x:c r="M271" s="6" t="str">
        <x:v>Included</x:v>
      </x:c>
    </x:row>
    <x:row r="272" ht="23" customHeight="1">
      <x:c r="B272" s="12" t="str">
        <x:v>7326</x:v>
      </x:c>
      <x:c r="C272" s="6" t="str">
        <x:v>Davenport Rd / Lansdowne Ave</x:v>
      </x:c>
      <x:c r="D272" s="6" t="n">
        <x:v>790</x:v>
      </x:c>
      <x:c r="E272" s="6" t="n">
        <x:v>790</x:v>
      </x:c>
      <x:c r="F272" s="6" t="n">
        <x:v>0</x:v>
      </x:c>
      <x:c r="G272" s="6" t="n">
        <x:v>11</x:v>
      </x:c>
      <x:c r="H272" s="6" t="n">
        <x:v>114</x:v>
      </x:c>
      <x:c r="I272" s="6" t="n">
        <x:v>13134</x:v>
      </x:c>
      <x:c r="J272" s="11" t="n">
        <x:f>E272/D272</x:f>
        <x:v>1</x:v>
      </x:c>
      <x:c r="K272" s="11" t="n">
        <x:f>F272/D272</x:f>
        <x:v>0</x:v>
      </x:c>
      <x:c r="L272" s="13" t="n">
        <x:f>I272/D272</x:f>
        <x:v>16.625316455696204</x:v>
      </x:c>
      <x:c r="M272" s="6" t="str">
        <x:v>Included</x:v>
      </x:c>
    </x:row>
    <x:row r="273" ht="23" customHeight="1">
      <x:c r="B273" s="12" t="str">
        <x:v>7329</x:v>
      </x:c>
      <x:c r="C273" s="6" t="str">
        <x:v>Crawford St / Queen St W</x:v>
      </x:c>
      <x:c r="D273" s="6" t="n">
        <x:v>786</x:v>
      </x:c>
      <x:c r="E273" s="6" t="n">
        <x:v>492</x:v>
      </x:c>
      <x:c r="F273" s="6" t="n">
        <x:v>294</x:v>
      </x:c>
      <x:c r="G273" s="6" t="n">
        <x:v>11</x:v>
      </x:c>
      <x:c r="H273" s="6" t="n">
        <x:v>115</x:v>
      </x:c>
      <x:c r="I273" s="6" t="n">
        <x:v>1572</x:v>
      </x:c>
      <x:c r="J273" s="11" t="n">
        <x:f>E273/D273</x:f>
        <x:v>0.6259541984732825</x:v>
      </x:c>
      <x:c r="K273" s="11" t="n">
        <x:f>F273/D273</x:f>
        <x:v>0.37404580152671757</x:v>
      </x:c>
      <x:c r="L273" s="13" t="n">
        <x:f>I273/D273</x:f>
        <x:v>2</x:v>
      </x:c>
      <x:c r="M273" s="6" t="str">
        <x:v>Included</x:v>
      </x:c>
    </x:row>
    <x:row r="274" ht="23" customHeight="1">
      <x:c r="B274" s="12" t="str">
        <x:v>7331</x:v>
      </x:c>
      <x:c r="C274" s="6" t="str">
        <x:v>Coxwell Ave / Plains Rd</x:v>
      </x:c>
      <x:c r="D274" s="6" t="n">
        <x:v>788</x:v>
      </x:c>
      <x:c r="E274" s="6" t="n">
        <x:v>788</x:v>
      </x:c>
      <x:c r="F274" s="6" t="n">
        <x:v>0</x:v>
      </x:c>
      <x:c r="G274" s="6" t="n">
        <x:v>11</x:v>
      </x:c>
      <x:c r="H274" s="6" t="n">
        <x:v>115</x:v>
      </x:c>
      <x:c r="I274" s="6" t="n">
        <x:v>13429</x:v>
      </x:c>
      <x:c r="J274" s="11" t="n">
        <x:f>E274/D274</x:f>
        <x:v>1</x:v>
      </x:c>
      <x:c r="K274" s="11" t="n">
        <x:f>F274/D274</x:f>
        <x:v>0</x:v>
      </x:c>
      <x:c r="L274" s="13" t="n">
        <x:f>I274/D274</x:f>
        <x:v>17.04187817258883</x:v>
      </x:c>
      <x:c r="M274" s="6" t="str">
        <x:v>Included</x:v>
      </x:c>
    </x:row>
    <x:row r="275" ht="23" customHeight="1">
      <x:c r="B275" s="12" t="str">
        <x:v>7332</x:v>
      </x:c>
      <x:c r="C275" s="6" t="str">
        <x:v>200 Bloor St E</x:v>
      </x:c>
      <x:c r="D275" s="6" t="n">
        <x:v>785</x:v>
      </x:c>
      <x:c r="E275" s="6" t="n">
        <x:v>785</x:v>
      </x:c>
      <x:c r="F275" s="6" t="n">
        <x:v>0</x:v>
      </x:c>
      <x:c r="G275" s="6" t="n">
        <x:v>11</x:v>
      </x:c>
      <x:c r="H275" s="6" t="n">
        <x:v>114</x:v>
      </x:c>
      <x:c r="I275" s="6" t="n">
        <x:v>15264</x:v>
      </x:c>
      <x:c r="J275" s="11" t="n">
        <x:f>E275/D275</x:f>
        <x:v>1</x:v>
      </x:c>
      <x:c r="K275" s="11" t="n">
        <x:f>F275/D275</x:f>
        <x:v>0</x:v>
      </x:c>
      <x:c r="L275" s="13" t="n">
        <x:f>I275/D275</x:f>
        <x:v>19.444585987261146</x:v>
      </x:c>
      <x:c r="M275" s="6" t="str">
        <x:v>Included</x:v>
      </x:c>
    </x:row>
    <x:row r="276" ht="23" customHeight="1">
      <x:c r="B276" s="12" t="str">
        <x:v>7333</x:v>
      </x:c>
      <x:c r="C276" s="6" t="str">
        <x:v>King St E / Victoria St</x:v>
      </x:c>
      <x:c r="D276" s="6" t="n">
        <x:v>792</x:v>
      </x:c>
      <x:c r="E276" s="6" t="n">
        <x:v>779</x:v>
      </x:c>
      <x:c r="F276" s="6" t="n">
        <x:v>13</x:v>
      </x:c>
      <x:c r="G276" s="6" t="n">
        <x:v>11</x:v>
      </x:c>
      <x:c r="H276" s="6" t="n">
        <x:v>114</x:v>
      </x:c>
      <x:c r="I276" s="6" t="n">
        <x:v>8196</x:v>
      </x:c>
      <x:c r="J276" s="11" t="n">
        <x:f>E276/D276</x:f>
        <x:v>0.9835858585858586</x:v>
      </x:c>
      <x:c r="K276" s="11" t="n">
        <x:f>F276/D276</x:f>
        <x:v>0.016414141414141416</x:v>
      </x:c>
      <x:c r="L276" s="13" t="n">
        <x:f>I276/D276</x:f>
        <x:v>10.348484848484848</x:v>
      </x:c>
      <x:c r="M276" s="6" t="str">
        <x:v>Included</x:v>
      </x:c>
    </x:row>
    <x:row r="277" ht="23" customHeight="1">
      <x:c r="B277" s="12" t="str">
        <x:v>7334</x:v>
      </x:c>
      <x:c r="C277" s="6" t="str">
        <x:v>Simcoe St / Wellington St W (North)</x:v>
      </x:c>
      <x:c r="D277" s="6" t="n">
        <x:v>782</x:v>
      </x:c>
      <x:c r="E277" s="6" t="n">
        <x:v>588</x:v>
      </x:c>
      <x:c r="F277" s="6" t="n">
        <x:v>194</x:v>
      </x:c>
      <x:c r="G277" s="6" t="n">
        <x:v>11</x:v>
      </x:c>
      <x:c r="H277" s="6" t="n">
        <x:v>114</x:v>
      </x:c>
      <x:c r="I277" s="6" t="n">
        <x:v>4659</x:v>
      </x:c>
      <x:c r="J277" s="11" t="n">
        <x:f>E277/D277</x:f>
        <x:v>0.7519181585677749</x:v>
      </x:c>
      <x:c r="K277" s="11" t="n">
        <x:f>F277/D277</x:f>
        <x:v>0.24808184143222506</x:v>
      </x:c>
      <x:c r="L277" s="13" t="n">
        <x:f>I277/D277</x:f>
        <x:v>5.957800511508951</x:v>
      </x:c>
      <x:c r="M277" s="6" t="str">
        <x:v>Included</x:v>
      </x:c>
    </x:row>
    <x:row r="278" ht="23" customHeight="1">
      <x:c r="B278" s="12" t="str">
        <x:v>7335</x:v>
      </x:c>
      <x:c r="C278" s="6" t="str">
        <x:v>Bay St / Bloor St W (West Side)</x:v>
      </x:c>
      <x:c r="D278" s="6" t="n">
        <x:v>787</x:v>
      </x:c>
      <x:c r="E278" s="6" t="n">
        <x:v>787</x:v>
      </x:c>
      <x:c r="F278" s="6" t="n">
        <x:v>0</x:v>
      </x:c>
      <x:c r="G278" s="6" t="n">
        <x:v>11</x:v>
      </x:c>
      <x:c r="H278" s="6" t="n">
        <x:v>114</x:v>
      </x:c>
      <x:c r="I278" s="6" t="n">
        <x:v>12294</x:v>
      </x:c>
      <x:c r="J278" s="11" t="n">
        <x:f>E278/D278</x:f>
        <x:v>1</x:v>
      </x:c>
      <x:c r="K278" s="11" t="n">
        <x:f>F278/D278</x:f>
        <x:v>0</x:v>
      </x:c>
      <x:c r="L278" s="13" t="n">
        <x:f>I278/D278</x:f>
        <x:v>15.621346886912326</x:v>
      </x:c>
      <x:c r="M278" s="6" t="str">
        <x:v>Included</x:v>
      </x:c>
    </x:row>
    <x:row r="279" ht="23" customHeight="1">
      <x:c r="B279" s="12" t="str">
        <x:v>7336</x:v>
      </x:c>
      <x:c r="C279" s="6" t="str">
        <x:v>Queen St E / Alton Av</x:v>
      </x:c>
      <x:c r="D279" s="6" t="n">
        <x:v>777</x:v>
      </x:c>
      <x:c r="E279" s="6" t="n">
        <x:v>507</x:v>
      </x:c>
      <x:c r="F279" s="6" t="n">
        <x:v>270</x:v>
      </x:c>
      <x:c r="G279" s="6" t="n">
        <x:v>11</x:v>
      </x:c>
      <x:c r="H279" s="6" t="n">
        <x:v>114</x:v>
      </x:c>
      <x:c r="I279" s="6" t="n">
        <x:v>1624</x:v>
      </x:c>
      <x:c r="J279" s="11" t="n">
        <x:f>E279/D279</x:f>
        <x:v>0.6525096525096525</x:v>
      </x:c>
      <x:c r="K279" s="11" t="n">
        <x:f>F279/D279</x:f>
        <x:v>0.3474903474903475</x:v>
      </x:c>
      <x:c r="L279" s="13" t="n">
        <x:f>I279/D279</x:f>
        <x:v>2.09009009009009</x:v>
      </x:c>
      <x:c r="M279" s="6" t="str">
        <x:v>Included</x:v>
      </x:c>
    </x:row>
    <x:row r="280" ht="23" customHeight="1">
      <x:c r="B280" s="12" t="str">
        <x:v>7337</x:v>
      </x:c>
      <x:c r="C280" s="6" t="str">
        <x:v>Gerrard Square Mall (1010 Gerrard St E)</x:v>
      </x:c>
      <x:c r="D280" s="6" t="n">
        <x:v>780</x:v>
      </x:c>
      <x:c r="E280" s="6" t="n">
        <x:v>596</x:v>
      </x:c>
      <x:c r="F280" s="6" t="n">
        <x:v>184</x:v>
      </x:c>
      <x:c r="G280" s="6" t="n">
        <x:v>11</x:v>
      </x:c>
      <x:c r="H280" s="6" t="n">
        <x:v>114</x:v>
      </x:c>
      <x:c r="I280" s="6" t="n">
        <x:v>1912</x:v>
      </x:c>
      <x:c r="J280" s="11" t="n">
        <x:f>E280/D280</x:f>
        <x:v>0.764102564102564</x:v>
      </x:c>
      <x:c r="K280" s="11" t="n">
        <x:f>F280/D280</x:f>
        <x:v>0.2358974358974359</x:v>
      </x:c>
      <x:c r="L280" s="13" t="n">
        <x:f>I280/D280</x:f>
        <x:v>2.4512820512820515</x:v>
      </x:c>
      <x:c r="M280" s="6" t="str">
        <x:v>Included</x:v>
      </x:c>
    </x:row>
    <x:row r="281" ht="23" customHeight="1">
      <x:c r="B281" s="12" t="str">
        <x:v>7338</x:v>
      </x:c>
      <x:c r="C281" s="6" t="str">
        <x:v>Logan Ave / Bain Ave</x:v>
      </x:c>
      <x:c r="D281" s="6" t="n">
        <x:v>795</x:v>
      </x:c>
      <x:c r="E281" s="6" t="n">
        <x:v>728</x:v>
      </x:c>
      <x:c r="F281" s="6" t="n">
        <x:v>67</x:v>
      </x:c>
      <x:c r="G281" s="6" t="n">
        <x:v>11</x:v>
      </x:c>
      <x:c r="H281" s="6" t="n">
        <x:v>115</x:v>
      </x:c>
      <x:c r="I281" s="6" t="n">
        <x:v>8565</x:v>
      </x:c>
      <x:c r="J281" s="11" t="n">
        <x:f>E281/D281</x:f>
        <x:v>0.9157232704402516</x:v>
      </x:c>
      <x:c r="K281" s="11" t="n">
        <x:f>F281/D281</x:f>
        <x:v>0.08427672955974842</x:v>
      </x:c>
      <x:c r="L281" s="13" t="n">
        <x:f>I281/D281</x:f>
        <x:v>10.773584905660377</x:v>
      </x:c>
      <x:c r="M281" s="6" t="str">
        <x:v>Included</x:v>
      </x:c>
    </x:row>
    <x:row r="282" ht="23" customHeight="1">
      <x:c r="B282" s="12" t="str">
        <x:v>7339</x:v>
      </x:c>
      <x:c r="C282" s="6" t="str">
        <x:v>Carlaw Ave / Strathcona Ave</x:v>
      </x:c>
      <x:c r="D282" s="6" t="n">
        <x:v>787</x:v>
      </x:c>
      <x:c r="E282" s="6" t="n">
        <x:v>787</x:v>
      </x:c>
      <x:c r="F282" s="6" t="n">
        <x:v>0</x:v>
      </x:c>
      <x:c r="G282" s="6" t="n">
        <x:v>11</x:v>
      </x:c>
      <x:c r="H282" s="6" t="n">
        <x:v>114</x:v>
      </x:c>
      <x:c r="I282" s="6" t="n">
        <x:v>8482</x:v>
      </x:c>
      <x:c r="J282" s="11" t="n">
        <x:f>E282/D282</x:f>
        <x:v>1</x:v>
      </x:c>
      <x:c r="K282" s="11" t="n">
        <x:f>F282/D282</x:f>
        <x:v>0</x:v>
      </x:c>
      <x:c r="L282" s="13" t="n">
        <x:f>I282/D282</x:f>
        <x:v>10.777636594663278</x:v>
      </x:c>
      <x:c r="M282" s="6" t="str">
        <x:v>Included</x:v>
      </x:c>
    </x:row>
    <x:row r="283" ht="23" customHeight="1">
      <x:c r="B283" s="12" t="str">
        <x:v>7340</x:v>
      </x:c>
      <x:c r="C283" s="6" t="str">
        <x:v>Blake St / Boultbee Ave</x:v>
      </x:c>
      <x:c r="D283" s="6" t="n">
        <x:v>786</x:v>
      </x:c>
      <x:c r="E283" s="6" t="n">
        <x:v>573</x:v>
      </x:c>
      <x:c r="F283" s="6" t="n">
        <x:v>213</x:v>
      </x:c>
      <x:c r="G283" s="6" t="n">
        <x:v>11</x:v>
      </x:c>
      <x:c r="H283" s="6" t="n">
        <x:v>115</x:v>
      </x:c>
      <x:c r="I283" s="6" t="n">
        <x:v>3720</x:v>
      </x:c>
      <x:c r="J283" s="11" t="n">
        <x:f>E283/D283</x:f>
        <x:v>0.7290076335877863</x:v>
      </x:c>
      <x:c r="K283" s="11" t="n">
        <x:f>F283/D283</x:f>
        <x:v>0.27099236641221375</x:v>
      </x:c>
      <x:c r="L283" s="13" t="n">
        <x:f>I283/D283</x:f>
        <x:v>4.732824427480916</x:v>
      </x:c>
      <x:c r="M283" s="6" t="str">
        <x:v>Included</x:v>
      </x:c>
    </x:row>
    <x:row r="284" ht="23" customHeight="1">
      <x:c r="B284" s="12" t="str">
        <x:v>7341</x:v>
      </x:c>
      <x:c r="C284" s="6" t="str">
        <x:v>Eastern Ave / Winnifred Ave</x:v>
      </x:c>
      <x:c r="D284" s="6" t="n">
        <x:v>790</x:v>
      </x:c>
      <x:c r="E284" s="6" t="n">
        <x:v>404</x:v>
      </x:c>
      <x:c r="F284" s="6" t="n">
        <x:v>386</x:v>
      </x:c>
      <x:c r="G284" s="6" t="n">
        <x:v>11</x:v>
      </x:c>
      <x:c r="H284" s="6" t="n">
        <x:v>115</x:v>
      </x:c>
      <x:c r="I284" s="6" t="n">
        <x:v>1366</x:v>
      </x:c>
      <x:c r="J284" s="11" t="n">
        <x:f>E284/D284</x:f>
        <x:v>0.5113924050632911</x:v>
      </x:c>
      <x:c r="K284" s="11" t="n">
        <x:f>F284/D284</x:f>
        <x:v>0.48860759493670886</x:v>
      </x:c>
      <x:c r="L284" s="13" t="n">
        <x:f>I284/D284</x:f>
        <x:v>1.729113924050633</x:v>
      </x:c>
      <x:c r="M284" s="6" t="str">
        <x:v>Included</x:v>
      </x:c>
    </x:row>
    <x:row r="285" ht="23" customHeight="1">
      <x:c r="B285" s="12" t="str">
        <x:v>7342</x:v>
      </x:c>
      <x:c r="C285" s="6" t="str">
        <x:v>Morse St / Eastern Ave</x:v>
      </x:c>
      <x:c r="D285" s="6" t="n">
        <x:v>793</x:v>
      </x:c>
      <x:c r="E285" s="6" t="n">
        <x:v>631</x:v>
      </x:c>
      <x:c r="F285" s="6" t="n">
        <x:v>162</x:v>
      </x:c>
      <x:c r="G285" s="6" t="n">
        <x:v>11</x:v>
      </x:c>
      <x:c r="H285" s="6" t="n">
        <x:v>115</x:v>
      </x:c>
      <x:c r="I285" s="6" t="n">
        <x:v>2266</x:v>
      </x:c>
      <x:c r="J285" s="11" t="n">
        <x:f>E285/D285</x:f>
        <x:v>0.7957124842370744</x:v>
      </x:c>
      <x:c r="K285" s="11" t="n">
        <x:f>F285/D285</x:f>
        <x:v>0.2042875157629256</x:v>
      </x:c>
      <x:c r="L285" s="13" t="n">
        <x:f>I285/D285</x:f>
        <x:v>2.85750315258512</x:v>
      </x:c>
      <x:c r="M285" s="6" t="str">
        <x:v>Included</x:v>
      </x:c>
    </x:row>
    <x:row r="286" ht="23" customHeight="1">
      <x:c r="B286" s="12" t="str">
        <x:v>7343</x:v>
      </x:c>
      <x:c r="C286" s="6" t="str">
        <x:v>Alton Ave / Dundas St E (Greenwood Park)</x:v>
      </x:c>
      <x:c r="D286" s="6" t="n">
        <x:v>791</x:v>
      </x:c>
      <x:c r="E286" s="6" t="n">
        <x:v>613</x:v>
      </x:c>
      <x:c r="F286" s="6" t="n">
        <x:v>178</x:v>
      </x:c>
      <x:c r="G286" s="6" t="n">
        <x:v>11</x:v>
      </x:c>
      <x:c r="H286" s="6" t="n">
        <x:v>114</x:v>
      </x:c>
      <x:c r="I286" s="6" t="n">
        <x:v>2592</x:v>
      </x:c>
      <x:c r="J286" s="11" t="n">
        <x:f>E286/D286</x:f>
        <x:v>0.7749683944374209</x:v>
      </x:c>
      <x:c r="K286" s="11" t="n">
        <x:f>F286/D286</x:f>
        <x:v>0.225031605562579</x:v>
      </x:c>
      <x:c r="L286" s="13" t="n">
        <x:f>I286/D286</x:f>
        <x:v>3.276864728192162</x:v>
      </x:c>
      <x:c r="M286" s="6" t="str">
        <x:v>Included</x:v>
      </x:c>
    </x:row>
    <x:row r="287" ht="23" customHeight="1">
      <x:c r="B287" s="12" t="str">
        <x:v>7344</x:v>
      </x:c>
      <x:c r="C287" s="6" t="str">
        <x:v>Cherry Beach</x:v>
      </x:c>
      <x:c r="D287" s="6" t="n">
        <x:v>785</x:v>
      </x:c>
      <x:c r="E287" s="6" t="n">
        <x:v>785</x:v>
      </x:c>
      <x:c r="F287" s="6" t="n">
        <x:v>0</x:v>
      </x:c>
      <x:c r="G287" s="6" t="n">
        <x:v>11</x:v>
      </x:c>
      <x:c r="H287" s="6" t="n">
        <x:v>114</x:v>
      </x:c>
      <x:c r="I287" s="6" t="n">
        <x:v>22540</x:v>
      </x:c>
      <x:c r="J287" s="11" t="n">
        <x:f>E287/D287</x:f>
        <x:v>1</x:v>
      </x:c>
      <x:c r="K287" s="11" t="n">
        <x:f>F287/D287</x:f>
        <x:v>0</x:v>
      </x:c>
      <x:c r="L287" s="13" t="n">
        <x:f>I287/D287</x:f>
        <x:v>28.713375796178344</x:v>
      </x:c>
      <x:c r="M287" s="6" t="str">
        <x:v>Included</x:v>
      </x:c>
    </x:row>
    <x:row r="288" ht="23" customHeight="1">
      <x:c r="B288" s="12" t="str">
        <x:v>7345</x:v>
      </x:c>
      <x:c r="C288" s="6" t="str">
        <x:v>Cherry Beach Sports Fields (55 Unwin Ave)</x:v>
      </x:c>
      <x:c r="D288" s="6" t="n">
        <x:v>787</x:v>
      </x:c>
      <x:c r="E288" s="6" t="n">
        <x:v>787</x:v>
      </x:c>
      <x:c r="F288" s="6" t="n">
        <x:v>0</x:v>
      </x:c>
      <x:c r="G288" s="6" t="n">
        <x:v>11</x:v>
      </x:c>
      <x:c r="H288" s="6" t="n">
        <x:v>115</x:v>
      </x:c>
      <x:c r="I288" s="6" t="n">
        <x:v>14638</x:v>
      </x:c>
      <x:c r="J288" s="11" t="n">
        <x:f>E288/D288</x:f>
        <x:v>1</x:v>
      </x:c>
      <x:c r="K288" s="11" t="n">
        <x:f>F288/D288</x:f>
        <x:v>0</x:v>
      </x:c>
      <x:c r="L288" s="13" t="n">
        <x:f>I288/D288</x:f>
        <x:v>18.5997458703939</x:v>
      </x:c>
      <x:c r="M288" s="6" t="str">
        <x:v>Included</x:v>
      </x:c>
    </x:row>
    <x:row r="289" ht="23" customHeight="1">
      <x:c r="B289" s="12" t="str">
        <x:v>7346</x:v>
      </x:c>
      <x:c r="C289" s="6" t="str">
        <x:v>Logan Ave / Gerrard St E</x:v>
      </x:c>
      <x:c r="D289" s="6" t="n">
        <x:v>783</x:v>
      </x:c>
      <x:c r="E289" s="6" t="n">
        <x:v>638</x:v>
      </x:c>
      <x:c r="F289" s="6" t="n">
        <x:v>145</x:v>
      </x:c>
      <x:c r="G289" s="6" t="n">
        <x:v>11</x:v>
      </x:c>
      <x:c r="H289" s="6" t="n">
        <x:v>115</x:v>
      </x:c>
      <x:c r="I289" s="6" t="n">
        <x:v>5467</x:v>
      </x:c>
      <x:c r="J289" s="11" t="n">
        <x:f>E289/D289</x:f>
        <x:v>0.8148148148148148</x:v>
      </x:c>
      <x:c r="K289" s="11" t="n">
        <x:f>F289/D289</x:f>
        <x:v>0.18518518518518517</x:v>
      </x:c>
      <x:c r="L289" s="13" t="n">
        <x:f>I289/D289</x:f>
        <x:v>6.982120051085569</x:v>
      </x:c>
      <x:c r="M289" s="6" t="str">
        <x:v>Included</x:v>
      </x:c>
    </x:row>
    <x:row r="290" ht="23" customHeight="1">
      <x:c r="B290" s="12" t="str">
        <x:v>7347</x:v>
      </x:c>
      <x:c r="C290" s="6" t="str">
        <x:v>Regal Rd / Dufferin St</x:v>
      </x:c>
      <x:c r="D290" s="6" t="n">
        <x:v>784</x:v>
      </x:c>
      <x:c r="E290" s="6" t="n">
        <x:v>752</x:v>
      </x:c>
      <x:c r="F290" s="6" t="n">
        <x:v>32</x:v>
      </x:c>
      <x:c r="G290" s="6" t="n">
        <x:v>11</x:v>
      </x:c>
      <x:c r="H290" s="6" t="n">
        <x:v>114</x:v>
      </x:c>
      <x:c r="I290" s="6" t="n">
        <x:v>9969</x:v>
      </x:c>
      <x:c r="J290" s="11" t="n">
        <x:f>E290/D290</x:f>
        <x:v>0.9591836734693877</x:v>
      </x:c>
      <x:c r="K290" s="11" t="n">
        <x:f>F290/D290</x:f>
        <x:v>0.04081632653061224</x:v>
      </x:c>
      <x:c r="L290" s="13" t="n">
        <x:f>I290/D290</x:f>
        <x:v>12.715561224489797</x:v>
      </x:c>
      <x:c r="M290" s="6" t="str">
        <x:v>Included</x:v>
      </x:c>
    </x:row>
    <x:row r="291" ht="23" customHeight="1">
      <x:c r="B291" s="12" t="str">
        <x:v>7348</x:v>
      </x:c>
      <x:c r="C291" s="6" t="str">
        <x:v>Pape Ave / Gamble Ave</x:v>
      </x:c>
      <x:c r="D291" s="6" t="n">
        <x:v>791</x:v>
      </x:c>
      <x:c r="E291" s="6" t="n">
        <x:v>791</x:v>
      </x:c>
      <x:c r="F291" s="6" t="n">
        <x:v>0</x:v>
      </x:c>
      <x:c r="G291" s="6" t="n">
        <x:v>11</x:v>
      </x:c>
      <x:c r="H291" s="6" t="n">
        <x:v>115</x:v>
      </x:c>
      <x:c r="I291" s="6" t="n">
        <x:v>12489</x:v>
      </x:c>
      <x:c r="J291" s="11" t="n">
        <x:f>E291/D291</x:f>
        <x:v>1</x:v>
      </x:c>
      <x:c r="K291" s="11" t="n">
        <x:f>F291/D291</x:f>
        <x:v>0</x:v>
      </x:c>
      <x:c r="L291" s="13" t="n">
        <x:f>I291/D291</x:f>
        <x:v>15.788874841972188</x:v>
      </x:c>
      <x:c r="M291" s="6" t="str">
        <x:v>Included</x:v>
      </x:c>
    </x:row>
    <x:row r="292" ht="23" customHeight="1">
      <x:c r="B292" s="12" t="str">
        <x:v>7349</x:v>
      </x:c>
      <x:c r="C292" s="6" t="str">
        <x:v>Gamble Ave / Broadview Ave</x:v>
      </x:c>
      <x:c r="D292" s="6" t="n">
        <x:v>789</x:v>
      </x:c>
      <x:c r="E292" s="6" t="n">
        <x:v>789</x:v>
      </x:c>
      <x:c r="F292" s="6" t="n">
        <x:v>0</x:v>
      </x:c>
      <x:c r="G292" s="6" t="n">
        <x:v>11</x:v>
      </x:c>
      <x:c r="H292" s="6" t="n">
        <x:v>115</x:v>
      </x:c>
      <x:c r="I292" s="6" t="n">
        <x:v>13998</x:v>
      </x:c>
      <x:c r="J292" s="11" t="n">
        <x:f>E292/D292</x:f>
        <x:v>1</x:v>
      </x:c>
      <x:c r="K292" s="11" t="n">
        <x:f>F292/D292</x:f>
        <x:v>0</x:v>
      </x:c>
      <x:c r="L292" s="13" t="n">
        <x:f>I292/D292</x:f>
        <x:v>17.74144486692015</x:v>
      </x:c>
      <x:c r="M292" s="6" t="str">
        <x:v>Included</x:v>
      </x:c>
    </x:row>
    <x:row r="293" ht="23" customHeight="1">
      <x:c r="B293" s="12" t="str">
        <x:v>7350</x:v>
      </x:c>
      <x:c r="C293" s="6" t="str">
        <x:v>Broadview Ave / Westwood Ave</x:v>
      </x:c>
      <x:c r="D293" s="6" t="n">
        <x:v>792</x:v>
      </x:c>
      <x:c r="E293" s="6" t="n">
        <x:v>792</x:v>
      </x:c>
      <x:c r="F293" s="6" t="n">
        <x:v>0</x:v>
      </x:c>
      <x:c r="G293" s="6" t="n">
        <x:v>11</x:v>
      </x:c>
      <x:c r="H293" s="6" t="n">
        <x:v>115</x:v>
      </x:c>
      <x:c r="I293" s="6" t="n">
        <x:v>14313</x:v>
      </x:c>
      <x:c r="J293" s="11" t="n">
        <x:f>E293/D293</x:f>
        <x:v>1</x:v>
      </x:c>
      <x:c r="K293" s="11" t="n">
        <x:f>F293/D293</x:f>
        <x:v>0</x:v>
      </x:c>
      <x:c r="L293" s="13" t="n">
        <x:f>I293/D293</x:f>
        <x:v>18.071969696969695</x:v>
      </x:c>
      <x:c r="M293" s="6" t="str">
        <x:v>Included</x:v>
      </x:c>
    </x:row>
    <x:row r="294" ht="23" customHeight="1">
      <x:c r="B294" s="12" t="str">
        <x:v>7351</x:v>
      </x:c>
      <x:c r="C294" s="6" t="str">
        <x:v>Pretoria Ave / Broadview Ave</x:v>
      </x:c>
      <x:c r="D294" s="6" t="n">
        <x:v>787</x:v>
      </x:c>
      <x:c r="E294" s="6" t="n">
        <x:v>771</x:v>
      </x:c>
      <x:c r="F294" s="6" t="n">
        <x:v>16</x:v>
      </x:c>
      <x:c r="G294" s="6" t="n">
        <x:v>11</x:v>
      </x:c>
      <x:c r="H294" s="6" t="n">
        <x:v>116</x:v>
      </x:c>
      <x:c r="I294" s="6" t="n">
        <x:v>12730</x:v>
      </x:c>
      <x:c r="J294" s="11" t="n">
        <x:f>E294/D294</x:f>
        <x:v>0.9796696315120712</x:v>
      </x:c>
      <x:c r="K294" s="11" t="n">
        <x:f>F294/D294</x:f>
        <x:v>0.020330368487928845</x:v>
      </x:c>
      <x:c r="L294" s="13" t="n">
        <x:f>I294/D294</x:f>
        <x:v>16.175349428208385</x:v>
      </x:c>
      <x:c r="M294" s="6" t="str">
        <x:v>Included</x:v>
      </x:c>
    </x:row>
    <x:row r="295" ht="23" customHeight="1">
      <x:c r="B295" s="12" t="str">
        <x:v>7352</x:v>
      </x:c>
      <x:c r="C295" s="6" t="str">
        <x:v>Cosburn Ave / Donlands Ave</x:v>
      </x:c>
      <x:c r="D295" s="6" t="n">
        <x:v>786</x:v>
      </x:c>
      <x:c r="E295" s="6" t="n">
        <x:v>786</x:v>
      </x:c>
      <x:c r="F295" s="6" t="n">
        <x:v>0</x:v>
      </x:c>
      <x:c r="G295" s="6" t="n">
        <x:v>11</x:v>
      </x:c>
      <x:c r="H295" s="6" t="n">
        <x:v>114</x:v>
      </x:c>
      <x:c r="I295" s="6" t="n">
        <x:v>11539</x:v>
      </x:c>
      <x:c r="J295" s="11" t="n">
        <x:f>E295/D295</x:f>
        <x:v>1</x:v>
      </x:c>
      <x:c r="K295" s="11" t="n">
        <x:f>F295/D295</x:f>
        <x:v>0</x:v>
      </x:c>
      <x:c r="L295" s="13" t="n">
        <x:f>I295/D295</x:f>
        <x:v>14.680661577608143</x:v>
      </x:c>
      <x:c r="M295" s="6" t="str">
        <x:v>Included</x:v>
      </x:c>
    </x:row>
    <x:row r="296" ht="23" customHeight="1">
      <x:c r="B296" s="12" t="str">
        <x:v>7353</x:v>
      </x:c>
      <x:c r="C296" s="6" t="str">
        <x:v>Fulton Ave / Pape Ave</x:v>
      </x:c>
      <x:c r="D296" s="6" t="n">
        <x:v>781</x:v>
      </x:c>
      <x:c r="E296" s="6" t="n">
        <x:v>781</x:v>
      </x:c>
      <x:c r="F296" s="6" t="n">
        <x:v>0</x:v>
      </x:c>
      <x:c r="G296" s="6" t="n">
        <x:v>11</x:v>
      </x:c>
      <x:c r="H296" s="6" t="n">
        <x:v>114</x:v>
      </x:c>
      <x:c r="I296" s="6" t="n">
        <x:v>12806</x:v>
      </x:c>
      <x:c r="J296" s="11" t="n">
        <x:f>E296/D296</x:f>
        <x:v>1</x:v>
      </x:c>
      <x:c r="K296" s="11" t="n">
        <x:f>F296/D296</x:f>
        <x:v>0</x:v>
      </x:c>
      <x:c r="L296" s="13" t="n">
        <x:f>I296/D296</x:f>
        <x:v>16.396927016645325</x:v>
      </x:c>
      <x:c r="M296" s="6" t="str">
        <x:v>Included</x:v>
      </x:c>
    </x:row>
    <x:row r="297" ht="23" customHeight="1">
      <x:c r="B297" s="12" t="str">
        <x:v>7354</x:v>
      </x:c>
      <x:c r="C297" s="6" t="str">
        <x:v>Tommy Thompson Park (Leslie Street Spit)</x:v>
      </x:c>
      <x:c r="D297" s="6" t="n">
        <x:v>788</x:v>
      </x:c>
      <x:c r="E297" s="6" t="n">
        <x:v>787</x:v>
      </x:c>
      <x:c r="F297" s="6" t="n">
        <x:v>1</x:v>
      </x:c>
      <x:c r="G297" s="6" t="n">
        <x:v>11</x:v>
      </x:c>
      <x:c r="H297" s="6" t="n">
        <x:v>115</x:v>
      </x:c>
      <x:c r="I297" s="6" t="n">
        <x:v>7528</x:v>
      </x:c>
      <x:c r="J297" s="11" t="n">
        <x:f>E297/D297</x:f>
        <x:v>0.998730964467005</x:v>
      </x:c>
      <x:c r="K297" s="11" t="n">
        <x:f>F297/D297</x:f>
        <x:v>0.0012690355329949238</x:v>
      </x:c>
      <x:c r="L297" s="13" t="n">
        <x:f>I297/D297</x:f>
        <x:v>9.553299492385786</x:v>
      </x:c>
      <x:c r="M297" s="6" t="str">
        <x:v>Included</x:v>
      </x:c>
    </x:row>
    <x:row r="298" ht="23" customHeight="1">
      <x:c r="B298" s="12" t="str">
        <x:v>7355</x:v>
      </x:c>
      <x:c r="C298" s="6" t="str">
        <x:v>Beltline Trail / Chaplin Cres</x:v>
      </x:c>
      <x:c r="D298" s="6" t="n">
        <x:v>790</x:v>
      </x:c>
      <x:c r="E298" s="6" t="n">
        <x:v>790</x:v>
      </x:c>
      <x:c r="F298" s="6" t="n">
        <x:v>0</x:v>
      </x:c>
      <x:c r="G298" s="6" t="n">
        <x:v>11</x:v>
      </x:c>
      <x:c r="H298" s="6" t="n">
        <x:v>114</x:v>
      </x:c>
      <x:c r="I298" s="6" t="n">
        <x:v>7222</x:v>
      </x:c>
      <x:c r="J298" s="11" t="n">
        <x:f>E298/D298</x:f>
        <x:v>1</x:v>
      </x:c>
      <x:c r="K298" s="11" t="n">
        <x:f>F298/D298</x:f>
        <x:v>0</x:v>
      </x:c>
      <x:c r="L298" s="13" t="n">
        <x:f>I298/D298</x:f>
        <x:v>9.141772151898735</x:v>
      </x:c>
      <x:c r="M298" s="6" t="str">
        <x:v>Included</x:v>
      </x:c>
    </x:row>
    <x:row r="299" ht="23" customHeight="1">
      <x:c r="B299" s="12" t="str">
        <x:v>7356</x:v>
      </x:c>
      <x:c r="C299" s="6" t="str">
        <x:v>King St E / Berkeley St</x:v>
      </x:c>
      <x:c r="D299" s="6" t="n">
        <x:v>792</x:v>
      </x:c>
      <x:c r="E299" s="6" t="n">
        <x:v>762</x:v>
      </x:c>
      <x:c r="F299" s="6" t="n">
        <x:v>30</x:v>
      </x:c>
      <x:c r="G299" s="6" t="n">
        <x:v>11</x:v>
      </x:c>
      <x:c r="H299" s="6" t="n">
        <x:v>114</x:v>
      </x:c>
      <x:c r="I299" s="6" t="n">
        <x:v>9304</x:v>
      </x:c>
      <x:c r="J299" s="11" t="n">
        <x:f>E299/D299</x:f>
        <x:v>0.9621212121212122</x:v>
      </x:c>
      <x:c r="K299" s="11" t="n">
        <x:f>F299/D299</x:f>
        <x:v>0.03787878787878788</x:v>
      </x:c>
      <x:c r="L299" s="13" t="n">
        <x:f>I299/D299</x:f>
        <x:v>11.747474747474747</x:v>
      </x:c>
      <x:c r="M299" s="6" t="str">
        <x:v>Included</x:v>
      </x:c>
    </x:row>
    <x:row r="300" ht="23" customHeight="1">
      <x:c r="B300" s="12" t="str">
        <x:v>7357</x:v>
      </x:c>
      <x:c r="C300" s="6" t="str">
        <x:v>Lake Shore Blvd E / Leslie St</x:v>
      </x:c>
      <x:c r="D300" s="6" t="n">
        <x:v>781</x:v>
      </x:c>
      <x:c r="E300" s="6" t="n">
        <x:v>589</x:v>
      </x:c>
      <x:c r="F300" s="6" t="n">
        <x:v>192</x:v>
      </x:c>
      <x:c r="G300" s="6" t="n">
        <x:v>11</x:v>
      </x:c>
      <x:c r="H300" s="6" t="n">
        <x:v>115</x:v>
      </x:c>
      <x:c r="I300" s="6" t="n">
        <x:v>2145</x:v>
      </x:c>
      <x:c r="J300" s="11" t="n">
        <x:f>E300/D300</x:f>
        <x:v>0.7541613316261203</x:v>
      </x:c>
      <x:c r="K300" s="11" t="n">
        <x:f>F300/D300</x:f>
        <x:v>0.24583866837387963</x:v>
      </x:c>
      <x:c r="L300" s="13" t="n">
        <x:f>I300/D300</x:f>
        <x:v>2.7464788732394365</x:v>
      </x:c>
      <x:c r="M300" s="6" t="str">
        <x:v>Included</x:v>
      </x:c>
    </x:row>
    <x:row r="301" ht="23" customHeight="1">
      <x:c r="B301" s="12" t="str">
        <x:v>7358</x:v>
      </x:c>
      <x:c r="C301" s="6" t="str">
        <x:v>Gailbraith Rd / King's College Rd</x:v>
      </x:c>
      <x:c r="D301" s="6" t="n">
        <x:v>793</x:v>
      </x:c>
      <x:c r="E301" s="6" t="n">
        <x:v>758</x:v>
      </x:c>
      <x:c r="F301" s="6" t="n">
        <x:v>35</x:v>
      </x:c>
      <x:c r="G301" s="6" t="n">
        <x:v>11</x:v>
      </x:c>
      <x:c r="H301" s="6" t="n">
        <x:v>115</x:v>
      </x:c>
      <x:c r="I301" s="6" t="n">
        <x:v>9210</x:v>
      </x:c>
      <x:c r="J301" s="11" t="n">
        <x:f>E301/D301</x:f>
        <x:v>0.9558638083228247</x:v>
      </x:c>
      <x:c r="K301" s="11" t="n">
        <x:f>F301/D301</x:f>
        <x:v>0.044136191677175286</x:v>
      </x:c>
      <x:c r="L301" s="13" t="n">
        <x:f>I301/D301</x:f>
        <x:v>11.614123581336695</x:v>
      </x:c>
      <x:c r="M301" s="6" t="str">
        <x:v>Included</x:v>
      </x:c>
    </x:row>
    <x:row r="302" ht="23" customHeight="1">
      <x:c r="B302" s="12" t="str">
        <x:v>7359</x:v>
      </x:c>
      <x:c r="C302" s="6" t="str">
        <x:v>Rosedale Park (20 Scholfield Ave)</x:v>
      </x:c>
      <x:c r="D302" s="6" t="n">
        <x:v>790</x:v>
      </x:c>
      <x:c r="E302" s="6" t="n">
        <x:v>790</x:v>
      </x:c>
      <x:c r="F302" s="6" t="n">
        <x:v>0</x:v>
      </x:c>
      <x:c r="G302" s="6" t="n">
        <x:v>11</x:v>
      </x:c>
      <x:c r="H302" s="6" t="n">
        <x:v>114</x:v>
      </x:c>
      <x:c r="I302" s="6" t="n">
        <x:v>16097</x:v>
      </x:c>
      <x:c r="J302" s="11" t="n">
        <x:f>E302/D302</x:f>
        <x:v>1</x:v>
      </x:c>
      <x:c r="K302" s="11" t="n">
        <x:f>F302/D302</x:f>
        <x:v>0</x:v>
      </x:c>
      <x:c r="L302" s="13" t="n">
        <x:f>I302/D302</x:f>
        <x:v>20.37594936708861</x:v>
      </x:c>
      <x:c r="M302" s="6" t="str">
        <x:v>Included</x:v>
      </x:c>
    </x:row>
    <x:row r="303" ht="23" customHeight="1">
      <x:c r="B303" s="12" t="str">
        <x:v>7360</x:v>
      </x:c>
      <x:c r="C303" s="6" t="str">
        <x:v>Concord Ave / Dewson St</x:v>
      </x:c>
      <x:c r="D303" s="6" t="n">
        <x:v>786</x:v>
      </x:c>
      <x:c r="E303" s="6" t="n">
        <x:v>728</x:v>
      </x:c>
      <x:c r="F303" s="6" t="n">
        <x:v>58</x:v>
      </x:c>
      <x:c r="G303" s="6" t="n">
        <x:v>11</x:v>
      </x:c>
      <x:c r="H303" s="6" t="n">
        <x:v>116</x:v>
      </x:c>
      <x:c r="I303" s="6" t="n">
        <x:v>9323</x:v>
      </x:c>
      <x:c r="J303" s="11" t="n">
        <x:f>E303/D303</x:f>
        <x:v>0.926208651399491</x:v>
      </x:c>
      <x:c r="K303" s="11" t="n">
        <x:f>F303/D303</x:f>
        <x:v>0.0737913486005089</x:v>
      </x:c>
      <x:c r="L303" s="13" t="n">
        <x:f>I303/D303</x:f>
        <x:v>11.861323155216285</x:v>
      </x:c>
      <x:c r="M303" s="6" t="str">
        <x:v>Included</x:v>
      </x:c>
    </x:row>
    <x:row r="304" ht="23" customHeight="1">
      <x:c r="B304" s="12" t="str">
        <x:v>7361</x:v>
      </x:c>
      <x:c r="C304" s="6" t="str">
        <x:v>Hocken Ave / Vaughan Rd</x:v>
      </x:c>
      <x:c r="D304" s="6" t="n">
        <x:v>791</x:v>
      </x:c>
      <x:c r="E304" s="6" t="n">
        <x:v>791</x:v>
      </x:c>
      <x:c r="F304" s="6" t="n">
        <x:v>0</x:v>
      </x:c>
      <x:c r="G304" s="6" t="n">
        <x:v>11</x:v>
      </x:c>
      <x:c r="H304" s="6" t="n">
        <x:v>115</x:v>
      </x:c>
      <x:c r="I304" s="6" t="n">
        <x:v>14174</x:v>
      </x:c>
      <x:c r="J304" s="11" t="n">
        <x:f>E304/D304</x:f>
        <x:v>1</x:v>
      </x:c>
      <x:c r="K304" s="11" t="n">
        <x:f>F304/D304</x:f>
        <x:v>0</x:v>
      </x:c>
      <x:c r="L304" s="13" t="n">
        <x:f>I304/D304</x:f>
        <x:v>17.919089759797725</x:v>
      </x:c>
      <x:c r="M304" s="6" t="str">
        <x:v>Included</x:v>
      </x:c>
    </x:row>
    <x:row r="305" ht="23" customHeight="1">
      <x:c r="B305" s="12" t="str">
        <x:v>7362</x:v>
      </x:c>
      <x:c r="C305" s="6" t="str">
        <x:v>St. Clair Ave W / Bathurst St</x:v>
      </x:c>
      <x:c r="D305" s="6" t="n">
        <x:v>784</x:v>
      </x:c>
      <x:c r="E305" s="6" t="n">
        <x:v>784</x:v>
      </x:c>
      <x:c r="F305" s="6" t="n">
        <x:v>0</x:v>
      </x:c>
      <x:c r="G305" s="6" t="n">
        <x:v>11</x:v>
      </x:c>
      <x:c r="H305" s="6" t="n">
        <x:v>114</x:v>
      </x:c>
      <x:c r="I305" s="6" t="n">
        <x:v>11148</x:v>
      </x:c>
      <x:c r="J305" s="11" t="n">
        <x:f>E305/D305</x:f>
        <x:v>1</x:v>
      </x:c>
      <x:c r="K305" s="11" t="n">
        <x:f>F305/D305</x:f>
        <x:v>0</x:v>
      </x:c>
      <x:c r="L305" s="13" t="n">
        <x:f>I305/D305</x:f>
        <x:v>14.21938775510204</x:v>
      </x:c>
      <x:c r="M305" s="6" t="str">
        <x:v>Included</x:v>
      </x:c>
    </x:row>
    <x:row r="306" ht="23" customHeight="1">
      <x:c r="B306" s="12" t="str">
        <x:v>7363</x:v>
      </x:c>
      <x:c r="C306" s="6" t="str">
        <x:v>Wells Hill Ave / St. Clair Ave W</x:v>
      </x:c>
      <x:c r="D306" s="6" t="n">
        <x:v>787</x:v>
      </x:c>
      <x:c r="E306" s="6" t="n">
        <x:v>787</x:v>
      </x:c>
      <x:c r="F306" s="6" t="n">
        <x:v>0</x:v>
      </x:c>
      <x:c r="G306" s="6" t="n">
        <x:v>11</x:v>
      </x:c>
      <x:c r="H306" s="6" t="n">
        <x:v>114</x:v>
      </x:c>
      <x:c r="I306" s="6" t="n">
        <x:v>10587</x:v>
      </x:c>
      <x:c r="J306" s="11" t="n">
        <x:f>E306/D306</x:f>
        <x:v>1</x:v>
      </x:c>
      <x:c r="K306" s="11" t="n">
        <x:f>F306/D306</x:f>
        <x:v>0</x:v>
      </x:c>
      <x:c r="L306" s="13" t="n">
        <x:f>I306/D306</x:f>
        <x:v>13.452350698856417</x:v>
      </x:c>
      <x:c r="M306" s="6" t="str">
        <x:v>Included</x:v>
      </x:c>
    </x:row>
    <x:row r="307" ht="23" customHeight="1">
      <x:c r="B307" s="12" t="str">
        <x:v>7364</x:v>
      </x:c>
      <x:c r="C307" s="6" t="str">
        <x:v>Queen St E / Nursewood Rd</x:v>
      </x:c>
      <x:c r="D307" s="6" t="n">
        <x:v>796</x:v>
      </x:c>
      <x:c r="E307" s="6" t="n">
        <x:v>561</x:v>
      </x:c>
      <x:c r="F307" s="6" t="n">
        <x:v>235</x:v>
      </x:c>
      <x:c r="G307" s="6" t="n">
        <x:v>11</x:v>
      </x:c>
      <x:c r="H307" s="6" t="n">
        <x:v>115</x:v>
      </x:c>
      <x:c r="I307" s="6" t="n">
        <x:v>6443</x:v>
      </x:c>
      <x:c r="J307" s="11" t="n">
        <x:f>E307/D307</x:f>
        <x:v>0.7047738693467337</x:v>
      </x:c>
      <x:c r="K307" s="11" t="n">
        <x:f>F307/D307</x:f>
        <x:v>0.2952261306532663</x:v>
      </x:c>
      <x:c r="L307" s="13" t="n">
        <x:f>I307/D307</x:f>
        <x:v>8.094221105527637</x:v>
      </x:c>
      <x:c r="M307" s="6" t="str">
        <x:v>Included</x:v>
      </x:c>
    </x:row>
    <x:row r="308" ht="23" customHeight="1">
      <x:c r="B308" s="12" t="str">
        <x:v>7365</x:v>
      </x:c>
      <x:c r="C308" s="6" t="str">
        <x:v>Kewbeach Ave / Kenilworth Ave</x:v>
      </x:c>
      <x:c r="D308" s="6" t="n">
        <x:v>789</x:v>
      </x:c>
      <x:c r="E308" s="6" t="n">
        <x:v>546</x:v>
      </x:c>
      <x:c r="F308" s="6" t="n">
        <x:v>243</x:v>
      </x:c>
      <x:c r="G308" s="6" t="n">
        <x:v>11</x:v>
      </x:c>
      <x:c r="H308" s="6" t="n">
        <x:v>115</x:v>
      </x:c>
      <x:c r="I308" s="6" t="n">
        <x:v>4570</x:v>
      </x:c>
      <x:c r="J308" s="11" t="n">
        <x:f>E308/D308</x:f>
        <x:v>0.6920152091254753</x:v>
      </x:c>
      <x:c r="K308" s="11" t="n">
        <x:f>F308/D308</x:f>
        <x:v>0.30798479087452474</x:v>
      </x:c>
      <x:c r="L308" s="13" t="n">
        <x:f>I308/D308</x:f>
        <x:v>5.7921419518377695</x:v>
      </x:c>
      <x:c r="M308" s="6" t="str">
        <x:v>Included</x:v>
      </x:c>
    </x:row>
    <x:row r="309" ht="23" customHeight="1">
      <x:c r="B309" s="12" t="str">
        <x:v>7366</x:v>
      </x:c>
      <x:c r="C309" s="6" t="str">
        <x:v>Fort York Blvd / Bathurst St - SMART</x:v>
      </x:c>
      <x:c r="D309" s="6" t="n">
        <x:v>787</x:v>
      </x:c>
      <x:c r="E309" s="6" t="n">
        <x:v>571</x:v>
      </x:c>
      <x:c r="F309" s="6" t="n">
        <x:v>216</x:v>
      </x:c>
      <x:c r="G309" s="6" t="n">
        <x:v>11</x:v>
      </x:c>
      <x:c r="H309" s="6" t="n">
        <x:v>115</x:v>
      </x:c>
      <x:c r="I309" s="6" t="n">
        <x:v>6407</x:v>
      </x:c>
      <x:c r="J309" s="11" t="n">
        <x:f>E309/D309</x:f>
        <x:v>0.7255400254129606</x:v>
      </x:c>
      <x:c r="K309" s="11" t="n">
        <x:f>F309/D309</x:f>
        <x:v>0.2744599745870394</x:v>
      </x:c>
      <x:c r="L309" s="13" t="n">
        <x:f>I309/D309</x:f>
        <x:v>8.141041931385006</x:v>
      </x:c>
      <x:c r="M309" s="6" t="str">
        <x:v>Included</x:v>
      </x:c>
    </x:row>
    <x:row r="310" ht="23" customHeight="1">
      <x:c r="B310" s="12" t="str">
        <x:v>7367</x:v>
      </x:c>
      <x:c r="C310" s="6" t="str">
        <x:v>Alma Ave / Gladstone Ave SMART</x:v>
      </x:c>
      <x:c r="D310" s="6" t="n">
        <x:v>782</x:v>
      </x:c>
      <x:c r="E310" s="6" t="n">
        <x:v>457</x:v>
      </x:c>
      <x:c r="F310" s="6" t="n">
        <x:v>325</x:v>
      </x:c>
      <x:c r="G310" s="6" t="n">
        <x:v>11</x:v>
      </x:c>
      <x:c r="H310" s="6" t="n">
        <x:v>114</x:v>
      </x:c>
      <x:c r="I310" s="6" t="n">
        <x:v>3722</x:v>
      </x:c>
      <x:c r="J310" s="11" t="n">
        <x:f>E310/D310</x:f>
        <x:v>0.5843989769820972</x:v>
      </x:c>
      <x:c r="K310" s="11" t="n">
        <x:f>F310/D310</x:f>
        <x:v>0.4156010230179028</x:v>
      </x:c>
      <x:c r="L310" s="13" t="n">
        <x:f>I310/D310</x:f>
        <x:v>4.759590792838875</x:v>
      </x:c>
      <x:c r="M310" s="6" t="str">
        <x:v>Included</x:v>
      </x:c>
    </x:row>
    <x:row r="311" ht="23" customHeight="1">
      <x:c r="B311" s="12" t="str">
        <x:v>7368</x:v>
      </x:c>
      <x:c r="C311" s="6" t="str">
        <x:v>Lisgar St / Dundas St W - SMART</x:v>
      </x:c>
      <x:c r="D311" s="6" t="n">
        <x:v>784</x:v>
      </x:c>
      <x:c r="E311" s="6" t="n">
        <x:v>687</x:v>
      </x:c>
      <x:c r="F311" s="6" t="n">
        <x:v>97</x:v>
      </x:c>
      <x:c r="G311" s="6" t="n">
        <x:v>11</x:v>
      </x:c>
      <x:c r="H311" s="6" t="n">
        <x:v>115</x:v>
      </x:c>
      <x:c r="I311" s="6" t="n">
        <x:v>2433</x:v>
      </x:c>
      <x:c r="J311" s="11" t="n">
        <x:f>E311/D311</x:f>
        <x:v>0.8762755102040817</x:v>
      </x:c>
      <x:c r="K311" s="11" t="n">
        <x:f>F311/D311</x:f>
        <x:v>0.12372448979591837</x:v>
      </x:c>
      <x:c r="L311" s="13" t="n">
        <x:f>I311/D311</x:f>
        <x:v>3.1033163265306123</x:v>
      </x:c>
      <x:c r="M311" s="6" t="str">
        <x:v>Included</x:v>
      </x:c>
    </x:row>
    <x:row r="312" ht="23" customHeight="1">
      <x:c r="B312" s="12" t="str">
        <x:v>7371</x:v>
      </x:c>
      <x:c r="C312" s="6" t="str">
        <x:v>Eglinton Ave W / Henning Ave SMART</x:v>
      </x:c>
      <x:c r="D312" s="6" t="n">
        <x:v>783</x:v>
      </x:c>
      <x:c r="E312" s="6" t="n">
        <x:v>783</x:v>
      </x:c>
      <x:c r="F312" s="6" t="n">
        <x:v>0</x:v>
      </x:c>
      <x:c r="G312" s="6" t="n">
        <x:v>11</x:v>
      </x:c>
      <x:c r="H312" s="6" t="n">
        <x:v>115</x:v>
      </x:c>
      <x:c r="I312" s="6" t="n">
        <x:v>11583</x:v>
      </x:c>
      <x:c r="J312" s="11" t="n">
        <x:f>E312/D312</x:f>
        <x:v>1</x:v>
      </x:c>
      <x:c r="K312" s="11" t="n">
        <x:f>F312/D312</x:f>
        <x:v>0</x:v>
      </x:c>
      <x:c r="L312" s="13" t="n">
        <x:f>I312/D312</x:f>
        <x:v>14.793103448275861</x:v>
      </x:c>
      <x:c r="M312" s="6" t="str">
        <x:v>Included</x:v>
      </x:c>
    </x:row>
    <x:row r="313" ht="23" customHeight="1">
      <x:c r="B313" s="12" t="str">
        <x:v>7373</x:v>
      </x:c>
      <x:c r="C313" s="6" t="str">
        <x:v>George St / King St E</x:v>
      </x:c>
      <x:c r="D313" s="6" t="n">
        <x:v>788</x:v>
      </x:c>
      <x:c r="E313" s="6" t="n">
        <x:v>687</x:v>
      </x:c>
      <x:c r="F313" s="6" t="n">
        <x:v>101</x:v>
      </x:c>
      <x:c r="G313" s="6" t="n">
        <x:v>11</x:v>
      </x:c>
      <x:c r="H313" s="6" t="n">
        <x:v>114</x:v>
      </x:c>
      <x:c r="I313" s="6" t="n">
        <x:v>4516</x:v>
      </x:c>
      <x:c r="J313" s="11" t="n">
        <x:f>E313/D313</x:f>
        <x:v>0.8718274111675127</x:v>
      </x:c>
      <x:c r="K313" s="11" t="n">
        <x:f>F313/D313</x:f>
        <x:v>0.1281725888324873</x:v>
      </x:c>
      <x:c r="L313" s="13" t="n">
        <x:f>I313/D313</x:f>
        <x:v>5.730964467005077</x:v>
      </x:c>
      <x:c r="M313" s="6" t="str">
        <x:v>Included</x:v>
      </x:c>
    </x:row>
    <x:row r="314" ht="23" customHeight="1">
      <x:c r="B314" s="12" t="str">
        <x:v>7374</x:v>
      </x:c>
      <x:c r="C314" s="6" t="str">
        <x:v>Frederick St / The Esplanade</x:v>
      </x:c>
      <x:c r="D314" s="6" t="n">
        <x:v>786</x:v>
      </x:c>
      <x:c r="E314" s="6" t="n">
        <x:v>550</x:v>
      </x:c>
      <x:c r="F314" s="6" t="n">
        <x:v>236</x:v>
      </x:c>
      <x:c r="G314" s="6" t="n">
        <x:v>11</x:v>
      </x:c>
      <x:c r="H314" s="6" t="n">
        <x:v>114</x:v>
      </x:c>
      <x:c r="I314" s="6" t="n">
        <x:v>2652</x:v>
      </x:c>
      <x:c r="J314" s="11" t="n">
        <x:f>E314/D314</x:f>
        <x:v>0.6997455470737913</x:v>
      </x:c>
      <x:c r="K314" s="11" t="n">
        <x:f>F314/D314</x:f>
        <x:v>0.30025445292620867</x:v>
      </x:c>
      <x:c r="L314" s="13" t="n">
        <x:f>I314/D314</x:f>
        <x:v>3.3740458015267176</x:v>
      </x:c>
      <x:c r="M314" s="6" t="str">
        <x:v>Included</x:v>
      </x:c>
    </x:row>
    <x:row r="315" ht="23" customHeight="1">
      <x:c r="B315" s="12" t="str">
        <x:v>7375</x:v>
      </x:c>
      <x:c r="C315" s="6" t="str">
        <x:v>Front St E / Scott St</x:v>
      </x:c>
      <x:c r="D315" s="6" t="n">
        <x:v>792</x:v>
      </x:c>
      <x:c r="E315" s="6" t="n">
        <x:v>605</x:v>
      </x:c>
      <x:c r="F315" s="6" t="n">
        <x:v>187</x:v>
      </x:c>
      <x:c r="G315" s="6" t="n">
        <x:v>11</x:v>
      </x:c>
      <x:c r="H315" s="6" t="n">
        <x:v>114</x:v>
      </x:c>
      <x:c r="I315" s="6" t="n">
        <x:v>3178</x:v>
      </x:c>
      <x:c r="J315" s="11" t="n">
        <x:f>E315/D315</x:f>
        <x:v>0.7638888888888888</x:v>
      </x:c>
      <x:c r="K315" s="11" t="n">
        <x:f>F315/D315</x:f>
        <x:v>0.2361111111111111</x:v>
      </x:c>
      <x:c r="L315" s="13" t="n">
        <x:f>I315/D315</x:f>
        <x:v>4.012626262626263</x:v>
      </x:c>
      <x:c r="M315" s="6" t="str">
        <x:v>Included</x:v>
      </x:c>
    </x:row>
    <x:row r="316" ht="23" customHeight="1">
      <x:c r="B316" s="12" t="str">
        <x:v>7376</x:v>
      </x:c>
      <x:c r="C316" s="6" t="str">
        <x:v>Frobisher Ave / Lascelles Blvd</x:v>
      </x:c>
      <x:c r="D316" s="6" t="n">
        <x:v>791</x:v>
      </x:c>
      <x:c r="E316" s="6" t="n">
        <x:v>791</x:v>
      </x:c>
      <x:c r="F316" s="6" t="n">
        <x:v>0</x:v>
      </x:c>
      <x:c r="G316" s="6" t="n">
        <x:v>11</x:v>
      </x:c>
      <x:c r="H316" s="6" t="n">
        <x:v>114</x:v>
      </x:c>
      <x:c r="I316" s="6" t="n">
        <x:v>12154</x:v>
      </x:c>
      <x:c r="J316" s="11" t="n">
        <x:f>E316/D316</x:f>
        <x:v>1</x:v>
      </x:c>
      <x:c r="K316" s="11" t="n">
        <x:f>F316/D316</x:f>
        <x:v>0</x:v>
      </x:c>
      <x:c r="L316" s="13" t="n">
        <x:f>I316/D316</x:f>
        <x:v>15.3653603034134</x:v>
      </x:c>
      <x:c r="M316" s="6" t="str">
        <x:v>Included</x:v>
      </x:c>
    </x:row>
    <x:row r="317" ht="23" customHeight="1">
      <x:c r="B317" s="12" t="str">
        <x:v>7377</x:v>
      </x:c>
      <x:c r="C317" s="6" t="str">
        <x:v>Balliol St / Yonge St - SMART</x:v>
      </x:c>
      <x:c r="D317" s="6" t="n">
        <x:v>796</x:v>
      </x:c>
      <x:c r="E317" s="6" t="n">
        <x:v>796</x:v>
      </x:c>
      <x:c r="F317" s="6" t="n">
        <x:v>0</x:v>
      </x:c>
      <x:c r="G317" s="6" t="n">
        <x:v>11</x:v>
      </x:c>
      <x:c r="H317" s="6" t="n">
        <x:v>113</x:v>
      </x:c>
      <x:c r="I317" s="6" t="n">
        <x:v>19062</x:v>
      </x:c>
      <x:c r="J317" s="11" t="n">
        <x:f>E317/D317</x:f>
        <x:v>1</x:v>
      </x:c>
      <x:c r="K317" s="11" t="n">
        <x:f>F317/D317</x:f>
        <x:v>0</x:v>
      </x:c>
      <x:c r="L317" s="13" t="n">
        <x:f>I317/D317</x:f>
        <x:v>23.94723618090452</x:v>
      </x:c>
      <x:c r="M317" s="6" t="str">
        <x:v>Included</x:v>
      </x:c>
    </x:row>
    <x:row r="318" ht="23" customHeight="1">
      <x:c r="B318" s="12" t="str">
        <x:v>7378</x:v>
      </x:c>
      <x:c r="C318" s="6" t="str">
        <x:v>Yonge St / Davisville Ave</x:v>
      </x:c>
      <x:c r="D318" s="6" t="n">
        <x:v>784</x:v>
      </x:c>
      <x:c r="E318" s="6" t="n">
        <x:v>784</x:v>
      </x:c>
      <x:c r="F318" s="6" t="n">
        <x:v>0</x:v>
      </x:c>
      <x:c r="G318" s="6" t="n">
        <x:v>11</x:v>
      </x:c>
      <x:c r="H318" s="6" t="n">
        <x:v>114</x:v>
      </x:c>
      <x:c r="I318" s="6" t="n">
        <x:v>8693</x:v>
      </x:c>
      <x:c r="J318" s="11" t="n">
        <x:f>E318/D318</x:f>
        <x:v>1</x:v>
      </x:c>
      <x:c r="K318" s="11" t="n">
        <x:f>F318/D318</x:f>
        <x:v>0</x:v>
      </x:c>
      <x:c r="L318" s="13" t="n">
        <x:f>I318/D318</x:f>
        <x:v>11.088010204081632</x:v>
      </x:c>
      <x:c r="M318" s="6" t="str">
        <x:v>Included</x:v>
      </x:c>
    </x:row>
    <x:row r="319" ht="23" customHeight="1">
      <x:c r="B319" s="12" t="str">
        <x:v>7379</x:v>
      </x:c>
      <x:c r="C319" s="6" t="str">
        <x:v>Lawton Blvd / Yonge St</x:v>
      </x:c>
      <x:c r="D319" s="6" t="n">
        <x:v>793</x:v>
      </x:c>
      <x:c r="E319" s="6" t="n">
        <x:v>793</x:v>
      </x:c>
      <x:c r="F319" s="6" t="n">
        <x:v>0</x:v>
      </x:c>
      <x:c r="G319" s="6" t="n">
        <x:v>11</x:v>
      </x:c>
      <x:c r="H319" s="6" t="n">
        <x:v>115</x:v>
      </x:c>
      <x:c r="I319" s="6" t="n">
        <x:v>7944</x:v>
      </x:c>
      <x:c r="J319" s="11" t="n">
        <x:f>E319/D319</x:f>
        <x:v>1</x:v>
      </x:c>
      <x:c r="K319" s="11" t="n">
        <x:f>F319/D319</x:f>
        <x:v>0</x:v>
      </x:c>
      <x:c r="L319" s="13" t="n">
        <x:f>I319/D319</x:f>
        <x:v>10.01765447667087</x:v>
      </x:c>
      <x:c r="M319" s="6" t="str">
        <x:v>Included</x:v>
      </x:c>
    </x:row>
    <x:row r="320" ht="23" customHeight="1">
      <x:c r="B320" s="12" t="str">
        <x:v>7380</x:v>
      </x:c>
      <x:c r="C320" s="6" t="str">
        <x:v>Erskine Ave / Yonge St SMART</x:v>
      </x:c>
      <x:c r="D320" s="6" t="n">
        <x:v>780</x:v>
      </x:c>
      <x:c r="E320" s="6" t="n">
        <x:v>780</x:v>
      </x:c>
      <x:c r="F320" s="6" t="n">
        <x:v>0</x:v>
      </x:c>
      <x:c r="G320" s="6" t="n">
        <x:v>11</x:v>
      </x:c>
      <x:c r="H320" s="6" t="n">
        <x:v>115</x:v>
      </x:c>
      <x:c r="I320" s="6" t="n">
        <x:v>8439</x:v>
      </x:c>
      <x:c r="J320" s="11" t="n">
        <x:f>E320/D320</x:f>
        <x:v>1</x:v>
      </x:c>
      <x:c r="K320" s="11" t="n">
        <x:f>F320/D320</x:f>
        <x:v>0</x:v>
      </x:c>
      <x:c r="L320" s="13" t="n">
        <x:f>I320/D320</x:f>
        <x:v>10.819230769230769</x:v>
      </x:c>
      <x:c r="M320" s="6" t="str">
        <x:v>Included</x:v>
      </x:c>
    </x:row>
    <x:row r="321" ht="23" customHeight="1">
      <x:c r="B321" s="12" t="str">
        <x:v>7381</x:v>
      </x:c>
      <x:c r="C321" s="6" t="str">
        <x:v>Yonge St / Orchard View Blvd</x:v>
      </x:c>
      <x:c r="D321" s="6" t="n">
        <x:v>784</x:v>
      </x:c>
      <x:c r="E321" s="6" t="n">
        <x:v>784</x:v>
      </x:c>
      <x:c r="F321" s="6" t="n">
        <x:v>0</x:v>
      </x:c>
      <x:c r="G321" s="6" t="n">
        <x:v>11</x:v>
      </x:c>
      <x:c r="H321" s="6" t="n">
        <x:v>114</x:v>
      </x:c>
      <x:c r="I321" s="6" t="n">
        <x:v>19098</x:v>
      </x:c>
      <x:c r="J321" s="11" t="n">
        <x:f>E321/D321</x:f>
        <x:v>1</x:v>
      </x:c>
      <x:c r="K321" s="11" t="n">
        <x:f>F321/D321</x:f>
        <x:v>0</x:v>
      </x:c>
      <x:c r="L321" s="13" t="n">
        <x:f>I321/D321</x:f>
        <x:v>24.35969387755102</x:v>
      </x:c>
      <x:c r="M321" s="6" t="str">
        <x:v>Included</x:v>
      </x:c>
    </x:row>
    <x:row r="322" ht="23" customHeight="1">
      <x:c r="B322" s="12" t="str">
        <x:v>7382</x:v>
      </x:c>
      <x:c r="C322" s="6" t="str">
        <x:v>Simcoe St / Adelaide St W</x:v>
      </x:c>
      <x:c r="D322" s="6" t="n">
        <x:v>789</x:v>
      </x:c>
      <x:c r="E322" s="6" t="n">
        <x:v>627</x:v>
      </x:c>
      <x:c r="F322" s="6" t="n">
        <x:v>162</x:v>
      </x:c>
      <x:c r="G322" s="6" t="n">
        <x:v>11</x:v>
      </x:c>
      <x:c r="H322" s="6" t="n">
        <x:v>115</x:v>
      </x:c>
      <x:c r="I322" s="6" t="n">
        <x:v>5951</x:v>
      </x:c>
      <x:c r="J322" s="11" t="n">
        <x:f>E322/D322</x:f>
        <x:v>0.7946768060836502</x:v>
      </x:c>
      <x:c r="K322" s="11" t="n">
        <x:f>F322/D322</x:f>
        <x:v>0.20532319391634982</x:v>
      </x:c>
      <x:c r="L322" s="13" t="n">
        <x:f>I322/D322</x:f>
        <x:v>7.5424588086185045</x:v>
      </x:c>
      <x:c r="M322" s="6" t="str">
        <x:v>Included</x:v>
      </x:c>
    </x:row>
    <x:row r="323" ht="23" customHeight="1">
      <x:c r="B323" s="12" t="str">
        <x:v>7383</x:v>
      </x:c>
      <x:c r="C323" s="6" t="str">
        <x:v>12 Harbour St</x:v>
      </x:c>
      <x:c r="D323" s="6" t="n">
        <x:v>787</x:v>
      </x:c>
      <x:c r="E323" s="6" t="n">
        <x:v>720</x:v>
      </x:c>
      <x:c r="F323" s="6" t="n">
        <x:v>67</x:v>
      </x:c>
      <x:c r="G323" s="6" t="n">
        <x:v>11</x:v>
      </x:c>
      <x:c r="H323" s="6" t="n">
        <x:v>115</x:v>
      </x:c>
      <x:c r="I323" s="6" t="n">
        <x:v>5287</x:v>
      </x:c>
      <x:c r="J323" s="11" t="n">
        <x:f>E323/D323</x:f>
        <x:v>0.9148665819567979</x:v>
      </x:c>
      <x:c r="K323" s="11" t="n">
        <x:f>F323/D323</x:f>
        <x:v>0.08513341804320203</x:v>
      </x:c>
      <x:c r="L323" s="13" t="n">
        <x:f>I323/D323</x:f>
        <x:v>6.717916137229987</x:v>
      </x:c>
      <x:c r="M323" s="6" t="str">
        <x:v>Included</x:v>
      </x:c>
    </x:row>
    <x:row r="324" ht="23" customHeight="1">
      <x:c r="B324" s="12" t="str">
        <x:v>7384</x:v>
      </x:c>
      <x:c r="C324" s="6" t="str">
        <x:v>Cumberland St / Bay St -  SMART</x:v>
      </x:c>
      <x:c r="D324" s="6" t="n">
        <x:v>774</x:v>
      </x:c>
      <x:c r="E324" s="6" t="n">
        <x:v>769</x:v>
      </x:c>
      <x:c r="F324" s="6" t="n">
        <x:v>5</x:v>
      </x:c>
      <x:c r="G324" s="6" t="n">
        <x:v>11</x:v>
      </x:c>
      <x:c r="H324" s="6" t="n">
        <x:v>113</x:v>
      </x:c>
      <x:c r="I324" s="6" t="n">
        <x:v>4621</x:v>
      </x:c>
      <x:c r="J324" s="11" t="n">
        <x:f>E324/D324</x:f>
        <x:v>0.9935400516795866</x:v>
      </x:c>
      <x:c r="K324" s="11" t="n">
        <x:f>F324/D324</x:f>
        <x:v>0.006459948320413436</x:v>
      </x:c>
      <x:c r="L324" s="13" t="n">
        <x:f>I324/D324</x:f>
        <x:v>5.970284237726098</x:v>
      </x:c>
      <x:c r="M324" s="6" t="str">
        <x:v>Included</x:v>
      </x:c>
    </x:row>
    <x:row r="325" ht="23" customHeight="1">
      <x:c r="B325" s="12" t="str">
        <x:v>7385</x:v>
      </x:c>
      <x:c r="C325" s="6" t="str">
        <x:v>20 Charles St E</x:v>
      </x:c>
      <x:c r="D325" s="6" t="n">
        <x:v>795</x:v>
      </x:c>
      <x:c r="E325" s="6" t="n">
        <x:v>767</x:v>
      </x:c>
      <x:c r="F325" s="6" t="n">
        <x:v>28</x:v>
      </x:c>
      <x:c r="G325" s="6" t="n">
        <x:v>11</x:v>
      </x:c>
      <x:c r="H325" s="6" t="n">
        <x:v>114</x:v>
      </x:c>
      <x:c r="I325" s="6" t="n">
        <x:v>12173</x:v>
      </x:c>
      <x:c r="J325" s="11" t="n">
        <x:f>E325/D325</x:f>
        <x:v>0.9647798742138365</x:v>
      </x:c>
      <x:c r="K325" s="11" t="n">
        <x:f>F325/D325</x:f>
        <x:v>0.03522012578616352</x:v>
      </x:c>
      <x:c r="L325" s="13" t="n">
        <x:f>I325/D325</x:f>
        <x:v>15.311949685534591</x:v>
      </x:c>
      <x:c r="M325" s="6" t="str">
        <x:v>Included</x:v>
      </x:c>
    </x:row>
    <x:row r="326" ht="23" customHeight="1">
      <x:c r="B326" s="12" t="str">
        <x:v>7386</x:v>
      </x:c>
      <x:c r="C326" s="6" t="str">
        <x:v>D'Arcy St / McCaul St - SMART</x:v>
      </x:c>
      <x:c r="D326" s="6" t="n">
        <x:v>784</x:v>
      </x:c>
      <x:c r="E326" s="6" t="n">
        <x:v>779</x:v>
      </x:c>
      <x:c r="F326" s="6" t="n">
        <x:v>5</x:v>
      </x:c>
      <x:c r="G326" s="6" t="n">
        <x:v>11</x:v>
      </x:c>
      <x:c r="H326" s="6" t="n">
        <x:v>114</x:v>
      </x:c>
      <x:c r="I326" s="6" t="n">
        <x:v>8887</x:v>
      </x:c>
      <x:c r="J326" s="11" t="n">
        <x:f>E326/D326</x:f>
        <x:v>0.9936224489795918</x:v>
      </x:c>
      <x:c r="K326" s="11" t="n">
        <x:f>F326/D326</x:f>
        <x:v>0.006377551020408163</x:v>
      </x:c>
      <x:c r="L326" s="13" t="n">
        <x:f>I326/D326</x:f>
        <x:v>11.33545918367347</x:v>
      </x:c>
      <x:c r="M326" s="6" t="str">
        <x:v>Included</x:v>
      </x:c>
    </x:row>
    <x:row r="327" ht="23" customHeight="1">
      <x:c r="B327" s="12" t="str">
        <x:v>7387</x:v>
      </x:c>
      <x:c r="C327" s="6" t="str">
        <x:v>Mortimer Ave / Carlaw Ave SMART</x:v>
      </x:c>
      <x:c r="D327" s="6" t="n">
        <x:v>789</x:v>
      </x:c>
      <x:c r="E327" s="6" t="n">
        <x:v>771</x:v>
      </x:c>
      <x:c r="F327" s="6" t="n">
        <x:v>18</x:v>
      </x:c>
      <x:c r="G327" s="6" t="n">
        <x:v>11</x:v>
      </x:c>
      <x:c r="H327" s="6" t="n">
        <x:v>115</x:v>
      </x:c>
      <x:c r="I327" s="6" t="n">
        <x:v>6299</x:v>
      </x:c>
      <x:c r="J327" s="11" t="n">
        <x:f>E327/D327</x:f>
        <x:v>0.9771863117870723</x:v>
      </x:c>
      <x:c r="K327" s="11" t="n">
        <x:f>F327/D327</x:f>
        <x:v>0.022813688212927757</x:v>
      </x:c>
      <x:c r="L327" s="13" t="n">
        <x:f>I327/D327</x:f>
        <x:v>7.983523447401774</x:v>
      </x:c>
      <x:c r="M327" s="6" t="str">
        <x:v>Included</x:v>
      </x:c>
    </x:row>
    <x:row r="328" ht="23" customHeight="1">
      <x:c r="B328" s="12" t="str">
        <x:v>7388</x:v>
      </x:c>
      <x:c r="C328" s="6" t="str">
        <x:v>Broadview Subway Station</x:v>
      </x:c>
      <x:c r="D328" s="6" t="n">
        <x:v>795</x:v>
      </x:c>
      <x:c r="E328" s="6" t="n">
        <x:v>795</x:v>
      </x:c>
      <x:c r="F328" s="6" t="n">
        <x:v>0</x:v>
      </x:c>
      <x:c r="G328" s="6" t="n">
        <x:v>11</x:v>
      </x:c>
      <x:c r="H328" s="6" t="n">
        <x:v>115</x:v>
      </x:c>
      <x:c r="I328" s="6" t="n">
        <x:v>9808</x:v>
      </x:c>
      <x:c r="J328" s="11" t="n">
        <x:f>E328/D328</x:f>
        <x:v>1</x:v>
      </x:c>
      <x:c r="K328" s="11" t="n">
        <x:f>F328/D328</x:f>
        <x:v>0</x:v>
      </x:c>
      <x:c r="L328" s="13" t="n">
        <x:f>I328/D328</x:f>
        <x:v>12.337106918238995</x:v>
      </x:c>
      <x:c r="M328" s="6" t="str">
        <x:v>Included</x:v>
      </x:c>
    </x:row>
    <x:row r="329" ht="23" customHeight="1">
      <x:c r="B329" s="12" t="str">
        <x:v>7389</x:v>
      </x:c>
      <x:c r="C329" s="6" t="str">
        <x:v>College Park - Gerrard Entrance</x:v>
      </x:c>
      <x:c r="D329" s="6" t="n">
        <x:v>792</x:v>
      </x:c>
      <x:c r="E329" s="6" t="n">
        <x:v>792</x:v>
      </x:c>
      <x:c r="F329" s="6" t="n">
        <x:v>0</x:v>
      </x:c>
      <x:c r="G329" s="6" t="n">
        <x:v>11</x:v>
      </x:c>
      <x:c r="H329" s="6" t="n">
        <x:v>114</x:v>
      </x:c>
      <x:c r="I329" s="6" t="n">
        <x:v>15862</x:v>
      </x:c>
      <x:c r="J329" s="11" t="n">
        <x:f>E329/D329</x:f>
        <x:v>1</x:v>
      </x:c>
      <x:c r="K329" s="11" t="n">
        <x:f>F329/D329</x:f>
        <x:v>0</x:v>
      </x:c>
      <x:c r="L329" s="13" t="n">
        <x:f>I329/D329</x:f>
        <x:v>20.02777777777778</x:v>
      </x:c>
      <x:c r="M329" s="6" t="str">
        <x:v>Included</x:v>
      </x:c>
    </x:row>
    <x:row r="330" ht="23" customHeight="1">
      <x:c r="B330" s="12" t="str">
        <x:v>7391</x:v>
      </x:c>
      <x:c r="C330" s="6" t="str">
        <x:v>Yonge St / Dundas Sq</x:v>
      </x:c>
      <x:c r="D330" s="6" t="n">
        <x:v>793</x:v>
      </x:c>
      <x:c r="E330" s="6" t="n">
        <x:v>758</x:v>
      </x:c>
      <x:c r="F330" s="6" t="n">
        <x:v>35</x:v>
      </x:c>
      <x:c r="G330" s="6" t="n">
        <x:v>11</x:v>
      </x:c>
      <x:c r="H330" s="6" t="n">
        <x:v>114</x:v>
      </x:c>
      <x:c r="I330" s="6" t="n">
        <x:v>12351</x:v>
      </x:c>
      <x:c r="J330" s="11" t="n">
        <x:f>E330/D330</x:f>
        <x:v>0.9558638083228247</x:v>
      </x:c>
      <x:c r="K330" s="11" t="n">
        <x:f>F330/D330</x:f>
        <x:v>0.044136191677175286</x:v>
      </x:c>
      <x:c r="L330" s="13" t="n">
        <x:f>I330/D330</x:f>
        <x:v>15.575031525851198</x:v>
      </x:c>
      <x:c r="M330" s="6" t="str">
        <x:v>Included</x:v>
      </x:c>
    </x:row>
    <x:row r="331" ht="23" customHeight="1">
      <x:c r="B331" s="12" t="str">
        <x:v>7395</x:v>
      </x:c>
      <x:c r="C331" s="6" t="str">
        <x:v>Dentonia Park</x:v>
      </x:c>
      <x:c r="D331" s="6" t="n">
        <x:v>793</x:v>
      </x:c>
      <x:c r="E331" s="6" t="n">
        <x:v>793</x:v>
      </x:c>
      <x:c r="F331" s="6" t="n">
        <x:v>0</x:v>
      </x:c>
      <x:c r="G331" s="6" t="n">
        <x:v>11</x:v>
      </x:c>
      <x:c r="H331" s="6" t="n">
        <x:v>115</x:v>
      </x:c>
      <x:c r="I331" s="6" t="n">
        <x:v>16610</x:v>
      </x:c>
      <x:c r="J331" s="11" t="n">
        <x:f>E331/D331</x:f>
        <x:v>1</x:v>
      </x:c>
      <x:c r="K331" s="11" t="n">
        <x:f>F331/D331</x:f>
        <x:v>0</x:v>
      </x:c>
      <x:c r="L331" s="13" t="n">
        <x:f>I331/D331</x:f>
        <x:v>20.94577553593947</x:v>
      </x:c>
      <x:c r="M331" s="6" t="str">
        <x:v>Included</x:v>
      </x:c>
    </x:row>
    <x:row r="332" ht="23" customHeight="1">
      <x:c r="B332" s="12" t="str">
        <x:v>7398</x:v>
      </x:c>
      <x:c r="C332" s="6" t="str">
        <x:v>York St / Lake Shore Blvd W</x:v>
      </x:c>
      <x:c r="D332" s="6" t="n">
        <x:v>790</x:v>
      </x:c>
      <x:c r="E332" s="6" t="n">
        <x:v>754</x:v>
      </x:c>
      <x:c r="F332" s="6" t="n">
        <x:v>36</x:v>
      </x:c>
      <x:c r="G332" s="6" t="n">
        <x:v>11</x:v>
      </x:c>
      <x:c r="H332" s="6" t="n">
        <x:v>115</x:v>
      </x:c>
      <x:c r="I332" s="6" t="n">
        <x:v>5967</x:v>
      </x:c>
      <x:c r="J332" s="11" t="n">
        <x:f>E332/D332</x:f>
        <x:v>0.9544303797468354</x:v>
      </x:c>
      <x:c r="K332" s="11" t="n">
        <x:f>F332/D332</x:f>
        <x:v>0.04556962025316456</x:v>
      </x:c>
      <x:c r="L332" s="13" t="n">
        <x:f>I332/D332</x:f>
        <x:v>7.553164556962026</x:v>
      </x:c>
      <x:c r="M332" s="6" t="str">
        <x:v>Included</x:v>
      </x:c>
    </x:row>
    <x:row r="333" ht="23" customHeight="1">
      <x:c r="B333" s="12" t="str">
        <x:v>7399</x:v>
      </x:c>
      <x:c r="C333" s="6" t="str">
        <x:v>Lower Jarvis St / Queens Quay E</x:v>
      </x:c>
      <x:c r="D333" s="6" t="n">
        <x:v>780</x:v>
      </x:c>
      <x:c r="E333" s="6" t="n">
        <x:v>780</x:v>
      </x:c>
      <x:c r="F333" s="6" t="n">
        <x:v>0</x:v>
      </x:c>
      <x:c r="G333" s="6" t="n">
        <x:v>11</x:v>
      </x:c>
      <x:c r="H333" s="6" t="n">
        <x:v>113</x:v>
      </x:c>
      <x:c r="I333" s="6" t="n">
        <x:v>4667</x:v>
      </x:c>
      <x:c r="J333" s="11" t="n">
        <x:f>E333/D333</x:f>
        <x:v>1</x:v>
      </x:c>
      <x:c r="K333" s="11" t="n">
        <x:f>F333/D333</x:f>
        <x:v>0</x:v>
      </x:c>
      <x:c r="L333" s="13" t="n">
        <x:f>I333/D333</x:f>
        <x:v>5.983333333333333</x:v>
      </x:c>
      <x:c r="M333" s="6" t="str">
        <x:v>Included</x:v>
      </x:c>
    </x:row>
    <x:row r="334" ht="23" customHeight="1">
      <x:c r="B334" s="12" t="str">
        <x:v>7400</x:v>
      </x:c>
      <x:c r="C334" s="6" t="str">
        <x:v>Polson Pier</x:v>
      </x:c>
      <x:c r="D334" s="6" t="n">
        <x:v>790</x:v>
      </x:c>
      <x:c r="E334" s="6" t="n">
        <x:v>789</x:v>
      </x:c>
      <x:c r="F334" s="6" t="n">
        <x:v>1</x:v>
      </x:c>
      <x:c r="G334" s="6" t="n">
        <x:v>11</x:v>
      </x:c>
      <x:c r="H334" s="6" t="n">
        <x:v>114</x:v>
      </x:c>
      <x:c r="I334" s="6" t="n">
        <x:v>12520</x:v>
      </x:c>
      <x:c r="J334" s="11" t="n">
        <x:f>E334/D334</x:f>
        <x:v>0.9987341772151899</x:v>
      </x:c>
      <x:c r="K334" s="11" t="n">
        <x:f>F334/D334</x:f>
        <x:v>0.0012658227848101266</x:v>
      </x:c>
      <x:c r="L334" s="13" t="n">
        <x:f>I334/D334</x:f>
        <x:v>15.848101265822784</x:v>
      </x:c>
      <x:c r="M334" s="6" t="str">
        <x:v>Included</x:v>
      </x:c>
    </x:row>
    <x:row r="335" ht="23" customHeight="1">
      <x:c r="B335" s="12" t="str">
        <x:v>7403</x:v>
      </x:c>
      <x:c r="C335" s="6" t="str">
        <x:v>Lascelles Blvd / Eglinton Ave W</x:v>
      </x:c>
      <x:c r="D335" s="6" t="n">
        <x:v>786</x:v>
      </x:c>
      <x:c r="E335" s="6" t="n">
        <x:v>786</x:v>
      </x:c>
      <x:c r="F335" s="6" t="n">
        <x:v>0</x:v>
      </x:c>
      <x:c r="G335" s="6" t="n">
        <x:v>11</x:v>
      </x:c>
      <x:c r="H335" s="6" t="n">
        <x:v>116</x:v>
      </x:c>
      <x:c r="I335" s="6" t="n">
        <x:v>10319</x:v>
      </x:c>
      <x:c r="J335" s="11" t="n">
        <x:f>E335/D335</x:f>
        <x:v>1</x:v>
      </x:c>
      <x:c r="K335" s="11" t="n">
        <x:f>F335/D335</x:f>
        <x:v>0</x:v>
      </x:c>
      <x:c r="L335" s="13" t="n">
        <x:f>I335/D335</x:f>
        <x:v>13.12849872773537</x:v>
      </x:c>
      <x:c r="M335" s="6" t="str">
        <x:v>Included</x:v>
      </x:c>
    </x:row>
    <x:row r="336" ht="23" customHeight="1">
      <x:c r="B336" s="12" t="str">
        <x:v>7404</x:v>
      </x:c>
      <x:c r="C336" s="6" t="str">
        <x:v>Roehampton Ave / Mount Pleasant Rd</x:v>
      </x:c>
      <x:c r="D336" s="6" t="n">
        <x:v>782</x:v>
      </x:c>
      <x:c r="E336" s="6" t="n">
        <x:v>782</x:v>
      </x:c>
      <x:c r="F336" s="6" t="n">
        <x:v>0</x:v>
      </x:c>
      <x:c r="G336" s="6" t="n">
        <x:v>11</x:v>
      </x:c>
      <x:c r="H336" s="6" t="n">
        <x:v>115</x:v>
      </x:c>
      <x:c r="I336" s="6" t="n">
        <x:v>11065</x:v>
      </x:c>
      <x:c r="J336" s="11" t="n">
        <x:f>E336/D336</x:f>
        <x:v>1</x:v>
      </x:c>
      <x:c r="K336" s="11" t="n">
        <x:f>F336/D336</x:f>
        <x:v>0</x:v>
      </x:c>
      <x:c r="L336" s="13" t="n">
        <x:f>I336/D336</x:f>
        <x:v>14.149616368286445</x:v>
      </x:c>
      <x:c r="M336" s="6" t="str">
        <x:v>Included</x:v>
      </x:c>
    </x:row>
    <x:row r="337" ht="23" customHeight="1">
      <x:c r="B337" s="12" t="str">
        <x:v>7407</x:v>
      </x:c>
      <x:c r="C337" s="6" t="str">
        <x:v>University Ave / Queen St W</x:v>
      </x:c>
      <x:c r="D337" s="6" t="n">
        <x:v>789</x:v>
      </x:c>
      <x:c r="E337" s="6" t="n">
        <x:v>747</x:v>
      </x:c>
      <x:c r="F337" s="6" t="n">
        <x:v>42</x:v>
      </x:c>
      <x:c r="G337" s="6" t="n">
        <x:v>11</x:v>
      </x:c>
      <x:c r="H337" s="6" t="n">
        <x:v>115</x:v>
      </x:c>
      <x:c r="I337" s="6" t="n">
        <x:v>9463</x:v>
      </x:c>
      <x:c r="J337" s="11" t="n">
        <x:f>E337/D337</x:f>
        <x:v>0.9467680608365019</x:v>
      </x:c>
      <x:c r="K337" s="11" t="n">
        <x:f>F337/D337</x:f>
        <x:v>0.053231939163498096</x:v>
      </x:c>
      <x:c r="L337" s="13" t="n">
        <x:f>I337/D337</x:f>
        <x:v>11.993662864385298</x:v>
      </x:c>
      <x:c r="M337" s="6" t="str">
        <x:v>Included</x:v>
      </x:c>
    </x:row>
    <x:row r="338" ht="23" customHeight="1">
      <x:c r="B338" s="12" t="str">
        <x:v>7409</x:v>
      </x:c>
      <x:c r="C338" s="6" t="str">
        <x:v>Isabella St / Church St</x:v>
      </x:c>
      <x:c r="D338" s="6" t="n">
        <x:v>789</x:v>
      </x:c>
      <x:c r="E338" s="6" t="n">
        <x:v>789</x:v>
      </x:c>
      <x:c r="F338" s="6" t="n">
        <x:v>0</x:v>
      </x:c>
      <x:c r="G338" s="6" t="n">
        <x:v>11</x:v>
      </x:c>
      <x:c r="H338" s="6" t="n">
        <x:v>114</x:v>
      </x:c>
      <x:c r="I338" s="6" t="n">
        <x:v>15288</x:v>
      </x:c>
      <x:c r="J338" s="11" t="n">
        <x:f>E338/D338</x:f>
        <x:v>1</x:v>
      </x:c>
      <x:c r="K338" s="11" t="n">
        <x:f>F338/D338</x:f>
        <x:v>0</x:v>
      </x:c>
      <x:c r="L338" s="13" t="n">
        <x:f>I338/D338</x:f>
        <x:v>19.376425855513308</x:v>
      </x:c>
      <x:c r="M338" s="6" t="str">
        <x:v>Included</x:v>
      </x:c>
    </x:row>
    <x:row r="339" ht="23" customHeight="1">
      <x:c r="B339" s="12" t="str">
        <x:v>7410</x:v>
      </x:c>
      <x:c r="C339" s="6" t="str">
        <x:v>Howard St / Rose Ave</x:v>
      </x:c>
      <x:c r="D339" s="6" t="n">
        <x:v>787</x:v>
      </x:c>
      <x:c r="E339" s="6" t="n">
        <x:v>787</x:v>
      </x:c>
      <x:c r="F339" s="6" t="n">
        <x:v>0</x:v>
      </x:c>
      <x:c r="G339" s="6" t="n">
        <x:v>11</x:v>
      </x:c>
      <x:c r="H339" s="6" t="n">
        <x:v>115</x:v>
      </x:c>
      <x:c r="I339" s="6" t="n">
        <x:v>12342</x:v>
      </x:c>
      <x:c r="J339" s="11" t="n">
        <x:f>E339/D339</x:f>
        <x:v>1</x:v>
      </x:c>
      <x:c r="K339" s="11" t="n">
        <x:f>F339/D339</x:f>
        <x:v>0</x:v>
      </x:c>
      <x:c r="L339" s="13" t="n">
        <x:f>I339/D339</x:f>
        <x:v>15.682337992376112</x:v>
      </x:c>
      <x:c r="M339" s="6" t="str">
        <x:v>Included</x:v>
      </x:c>
    </x:row>
    <x:row r="340" ht="23" customHeight="1">
      <x:c r="B340" s="12" t="str">
        <x:v>7411</x:v>
      </x:c>
      <x:c r="C340" s="6" t="str">
        <x:v>Little Norway Park</x:v>
      </x:c>
      <x:c r="D340" s="6" t="n">
        <x:v>789</x:v>
      </x:c>
      <x:c r="E340" s="6" t="n">
        <x:v>776</x:v>
      </x:c>
      <x:c r="F340" s="6" t="n">
        <x:v>13</x:v>
      </x:c>
      <x:c r="G340" s="6" t="n">
        <x:v>11</x:v>
      </x:c>
      <x:c r="H340" s="6" t="n">
        <x:v>114</x:v>
      </x:c>
      <x:c r="I340" s="6" t="n">
        <x:v>4813</x:v>
      </x:c>
      <x:c r="J340" s="11" t="n">
        <x:f>E340/D340</x:f>
        <x:v>0.9835234474017744</x:v>
      </x:c>
      <x:c r="K340" s="11" t="n">
        <x:f>F340/D340</x:f>
        <x:v>0.016476552598225603</x:v>
      </x:c>
      <x:c r="L340" s="13" t="n">
        <x:f>I340/D340</x:f>
        <x:v>6.100126742712294</x:v>
      </x:c>
      <x:c r="M340" s="6" t="str">
        <x:v>Included</x:v>
      </x:c>
    </x:row>
    <x:row r="341" ht="23" customHeight="1">
      <x:c r="B341" s="12" t="str">
        <x:v>7412</x:v>
      </x:c>
      <x:c r="C341" s="6" t="str">
        <x:v>King St W / Crawford St</x:v>
      </x:c>
      <x:c r="D341" s="6" t="n">
        <x:v>775</x:v>
      </x:c>
      <x:c r="E341" s="6" t="n">
        <x:v>618</x:v>
      </x:c>
      <x:c r="F341" s="6" t="n">
        <x:v>157</x:v>
      </x:c>
      <x:c r="G341" s="6" t="n">
        <x:v>11</x:v>
      </x:c>
      <x:c r="H341" s="6" t="n">
        <x:v>114</x:v>
      </x:c>
      <x:c r="I341" s="6" t="n">
        <x:v>7105</x:v>
      </x:c>
      <x:c r="J341" s="11" t="n">
        <x:f>E341/D341</x:f>
        <x:v>0.7974193548387096</x:v>
      </x:c>
      <x:c r="K341" s="11" t="n">
        <x:f>F341/D341</x:f>
        <x:v>0.20258064516129032</x:v>
      </x:c>
      <x:c r="L341" s="13" t="n">
        <x:f>I341/D341</x:f>
        <x:v>9.167741935483871</x:v>
      </x:c>
      <x:c r="M341" s="6" t="str">
        <x:v>Included</x:v>
      </x:c>
    </x:row>
    <x:row r="342" ht="23" customHeight="1">
      <x:c r="B342" s="12" t="str">
        <x:v>7414</x:v>
      </x:c>
      <x:c r="C342" s="6" t="str">
        <x:v>Keele St / Annette St</x:v>
      </x:c>
      <x:c r="D342" s="6" t="n">
        <x:v>785</x:v>
      </x:c>
      <x:c r="E342" s="6" t="n">
        <x:v>785</x:v>
      </x:c>
      <x:c r="F342" s="6" t="n">
        <x:v>0</x:v>
      </x:c>
      <x:c r="G342" s="6" t="n">
        <x:v>11</x:v>
      </x:c>
      <x:c r="H342" s="6" t="n">
        <x:v>114</x:v>
      </x:c>
      <x:c r="I342" s="6" t="n">
        <x:v>8778</x:v>
      </x:c>
      <x:c r="J342" s="11" t="n">
        <x:f>E342/D342</x:f>
        <x:v>1</x:v>
      </x:c>
      <x:c r="K342" s="11" t="n">
        <x:f>F342/D342</x:f>
        <x:v>0</x:v>
      </x:c>
      <x:c r="L342" s="13" t="n">
        <x:f>I342/D342</x:f>
        <x:v>11.182165605095541</x:v>
      </x:c>
      <x:c r="M342" s="6" t="str">
        <x:v>Included</x:v>
      </x:c>
    </x:row>
    <x:row r="343" ht="23" customHeight="1">
      <x:c r="B343" s="12" t="str">
        <x:v>7415</x:v>
      </x:c>
      <x:c r="C343" s="6" t="str">
        <x:v>Keele St / Vine Ave</x:v>
      </x:c>
      <x:c r="D343" s="6" t="n">
        <x:v>786</x:v>
      </x:c>
      <x:c r="E343" s="6" t="n">
        <x:v>786</x:v>
      </x:c>
      <x:c r="F343" s="6" t="n">
        <x:v>0</x:v>
      </x:c>
      <x:c r="G343" s="6" t="n">
        <x:v>11</x:v>
      </x:c>
      <x:c r="H343" s="6" t="n">
        <x:v>114</x:v>
      </x:c>
      <x:c r="I343" s="6" t="n">
        <x:v>13899</x:v>
      </x:c>
      <x:c r="J343" s="11" t="n">
        <x:f>E343/D343</x:f>
        <x:v>1</x:v>
      </x:c>
      <x:c r="K343" s="11" t="n">
        <x:f>F343/D343</x:f>
        <x:v>0</x:v>
      </x:c>
      <x:c r="L343" s="13" t="n">
        <x:f>I343/D343</x:f>
        <x:v>17.68320610687023</x:v>
      </x:c>
      <x:c r="M343" s="6" t="str">
        <x:v>Included</x:v>
      </x:c>
    </x:row>
    <x:row r="344" ht="23" customHeight="1">
      <x:c r="B344" s="12" t="str">
        <x:v>7416</x:v>
      </x:c>
      <x:c r="C344" s="6" t="str">
        <x:v>Spadina Ave / Blue Jays Way</x:v>
      </x:c>
      <x:c r="D344" s="6" t="n">
        <x:v>786</x:v>
      </x:c>
      <x:c r="E344" s="6" t="n">
        <x:v>768</x:v>
      </x:c>
      <x:c r="F344" s="6" t="n">
        <x:v>18</x:v>
      </x:c>
      <x:c r="G344" s="6" t="n">
        <x:v>11</x:v>
      </x:c>
      <x:c r="H344" s="6" t="n">
        <x:v>116</x:v>
      </x:c>
      <x:c r="I344" s="6" t="n">
        <x:v>13234</x:v>
      </x:c>
      <x:c r="J344" s="11" t="n">
        <x:f>E344/D344</x:f>
        <x:v>0.9770992366412213</x:v>
      </x:c>
      <x:c r="K344" s="11" t="n">
        <x:f>F344/D344</x:f>
        <x:v>0.022900763358778626</x:v>
      </x:c>
      <x:c r="L344" s="13" t="n">
        <x:f>I344/D344</x:f>
        <x:v>16.83715012722646</x:v>
      </x:c>
      <x:c r="M344" s="6" t="str">
        <x:v>Included</x:v>
      </x:c>
    </x:row>
    <x:row r="345" ht="23" customHeight="1">
      <x:c r="B345" s="12" t="str">
        <x:v>7417</x:v>
      </x:c>
      <x:c r="C345" s="6" t="str">
        <x:v>King St W / Jordan St</x:v>
      </x:c>
      <x:c r="D345" s="6" t="n">
        <x:v>778</x:v>
      </x:c>
      <x:c r="E345" s="6" t="n">
        <x:v>735</x:v>
      </x:c>
      <x:c r="F345" s="6" t="n">
        <x:v>43</x:v>
      </x:c>
      <x:c r="G345" s="6" t="n">
        <x:v>11</x:v>
      </x:c>
      <x:c r="H345" s="6" t="n">
        <x:v>116</x:v>
      </x:c>
      <x:c r="I345" s="6" t="n">
        <x:v>5499</x:v>
      </x:c>
      <x:c r="J345" s="11" t="n">
        <x:f>E345/D345</x:f>
        <x:v>0.9447300771208226</x:v>
      </x:c>
      <x:c r="K345" s="11" t="n">
        <x:f>F345/D345</x:f>
        <x:v>0.055269922879177376</x:v>
      </x:c>
      <x:c r="L345" s="13" t="n">
        <x:f>I345/D345</x:f>
        <x:v>7.0681233933161955</x:v>
      </x:c>
      <x:c r="M345" s="6" t="str">
        <x:v>Included</x:v>
      </x:c>
    </x:row>
    <x:row r="346" ht="23" customHeight="1">
      <x:c r="B346" s="12" t="str">
        <x:v>7418</x:v>
      </x:c>
      <x:c r="C346" s="6" t="str">
        <x:v>College Park - Yonge St Entrance</x:v>
      </x:c>
      <x:c r="D346" s="6" t="n">
        <x:v>792</x:v>
      </x:c>
      <x:c r="E346" s="6" t="n">
        <x:v>792</x:v>
      </x:c>
      <x:c r="F346" s="6" t="n">
        <x:v>0</x:v>
      </x:c>
      <x:c r="G346" s="6" t="n">
        <x:v>11</x:v>
      </x:c>
      <x:c r="H346" s="6" t="n">
        <x:v>114</x:v>
      </x:c>
      <x:c r="I346" s="6" t="n">
        <x:v>18234</x:v>
      </x:c>
      <x:c r="J346" s="11" t="n">
        <x:f>E346/D346</x:f>
        <x:v>1</x:v>
      </x:c>
      <x:c r="K346" s="11" t="n">
        <x:f>F346/D346</x:f>
        <x:v>0</x:v>
      </x:c>
      <x:c r="L346" s="13" t="n">
        <x:f>I346/D346</x:f>
        <x:v>23.022727272727273</x:v>
      </x:c>
      <x:c r="M346" s="6" t="str">
        <x:v>Included</x:v>
      </x:c>
    </x:row>
    <x:row r="347" ht="23" customHeight="1">
      <x:c r="B347" s="12" t="str">
        <x:v>7419</x:v>
      </x:c>
      <x:c r="C347" s="6" t="str">
        <x:v>Bloor St W / Huron St</x:v>
      </x:c>
      <x:c r="D347" s="6" t="n">
        <x:v>785</x:v>
      </x:c>
      <x:c r="E347" s="6" t="n">
        <x:v>785</x:v>
      </x:c>
      <x:c r="F347" s="6" t="n">
        <x:v>0</x:v>
      </x:c>
      <x:c r="G347" s="6" t="n">
        <x:v>11</x:v>
      </x:c>
      <x:c r="H347" s="6" t="n">
        <x:v>114</x:v>
      </x:c>
      <x:c r="I347" s="6" t="n">
        <x:v>18139</x:v>
      </x:c>
      <x:c r="J347" s="11" t="n">
        <x:f>E347/D347</x:f>
        <x:v>1</x:v>
      </x:c>
      <x:c r="K347" s="11" t="n">
        <x:f>F347/D347</x:f>
        <x:v>0</x:v>
      </x:c>
      <x:c r="L347" s="13" t="n">
        <x:f>I347/D347</x:f>
        <x:v>23.107006369426752</x:v>
      </x:c>
      <x:c r="M347" s="6" t="str">
        <x:v>Included</x:v>
      </x:c>
    </x:row>
    <x:row r="348" ht="23" customHeight="1">
      <x:c r="B348" s="12" t="str">
        <x:v>7420</x:v>
      </x:c>
      <x:c r="C348" s="6" t="str">
        <x:v>Barton Ave / Howland Ave - SMART</x:v>
      </x:c>
      <x:c r="D348" s="6" t="n">
        <x:v>788</x:v>
      </x:c>
      <x:c r="E348" s="6" t="n">
        <x:v>788</x:v>
      </x:c>
      <x:c r="F348" s="6" t="n">
        <x:v>0</x:v>
      </x:c>
      <x:c r="G348" s="6" t="n">
        <x:v>11</x:v>
      </x:c>
      <x:c r="H348" s="6" t="n">
        <x:v>115</x:v>
      </x:c>
      <x:c r="I348" s="6" t="n">
        <x:v>16618</x:v>
      </x:c>
      <x:c r="J348" s="11" t="n">
        <x:f>E348/D348</x:f>
        <x:v>1</x:v>
      </x:c>
      <x:c r="K348" s="11" t="n">
        <x:f>F348/D348</x:f>
        <x:v>0</x:v>
      </x:c>
      <x:c r="L348" s="13" t="n">
        <x:f>I348/D348</x:f>
        <x:v>21.088832487309645</x:v>
      </x:c>
      <x:c r="M348" s="6" t="str">
        <x:v>Included</x:v>
      </x:c>
    </x:row>
    <x:row r="349" ht="23" customHeight="1">
      <x:c r="B349" s="12" t="str">
        <x:v>7422</x:v>
      </x:c>
      <x:c r="C349" s="6" t="str">
        <x:v>Tyndall Ave / King St W - SMART</x:v>
      </x:c>
      <x:c r="D349" s="6" t="n">
        <x:v>789</x:v>
      </x:c>
      <x:c r="E349" s="6" t="n">
        <x:v>731</x:v>
      </x:c>
      <x:c r="F349" s="6" t="n">
        <x:v>58</x:v>
      </x:c>
      <x:c r="G349" s="6" t="n">
        <x:v>11</x:v>
      </x:c>
      <x:c r="H349" s="6" t="n">
        <x:v>113</x:v>
      </x:c>
      <x:c r="I349" s="6" t="n">
        <x:v>6582</x:v>
      </x:c>
      <x:c r="J349" s="11" t="n">
        <x:f>E349/D349</x:f>
        <x:v>0.926489226869455</x:v>
      </x:c>
      <x:c r="K349" s="11" t="n">
        <x:f>F349/D349</x:f>
        <x:v>0.07351077313054499</x:v>
      </x:c>
      <x:c r="L349" s="13" t="n">
        <x:f>I349/D349</x:f>
        <x:v>8.342205323193916</x:v>
      </x:c>
      <x:c r="M349" s="6" t="str">
        <x:v>Included</x:v>
      </x:c>
    </x:row>
    <x:row r="350" ht="23" customHeight="1">
      <x:c r="B350" s="12" t="str">
        <x:v>7425</x:v>
      </x:c>
      <x:c r="C350" s="6" t="str">
        <x:v>The Queensway at South Kingsway</x:v>
      </x:c>
      <x:c r="D350" s="6" t="n">
        <x:v>780</x:v>
      </x:c>
      <x:c r="E350" s="6" t="n">
        <x:v>780</x:v>
      </x:c>
      <x:c r="F350" s="6" t="n">
        <x:v>0</x:v>
      </x:c>
      <x:c r="G350" s="6" t="n">
        <x:v>11</x:v>
      </x:c>
      <x:c r="H350" s="6" t="n">
        <x:v>115</x:v>
      </x:c>
      <x:c r="I350" s="6" t="n">
        <x:v>1848</x:v>
      </x:c>
      <x:c r="J350" s="11" t="n">
        <x:f>E350/D350</x:f>
        <x:v>1</x:v>
      </x:c>
      <x:c r="K350" s="11" t="n">
        <x:f>F350/D350</x:f>
        <x:v>0</x:v>
      </x:c>
      <x:c r="L350" s="13" t="n">
        <x:f>I350/D350</x:f>
        <x:v>2.3692307692307693</x:v>
      </x:c>
      <x:c r="M350" s="6" t="str">
        <x:v>Included</x:v>
      </x:c>
    </x:row>
    <x:row r="351" ht="23" customHeight="1">
      <x:c r="B351" s="12" t="str">
        <x:v>7427</x:v>
      </x:c>
      <x:c r="C351" s="6" t="str">
        <x:v>Northern Dancer Blvd / Lake Shore Blvd E</x:v>
      </x:c>
      <x:c r="D351" s="6" t="n">
        <x:v>790</x:v>
      </x:c>
      <x:c r="E351" s="6" t="n">
        <x:v>689</x:v>
      </x:c>
      <x:c r="F351" s="6" t="n">
        <x:v>101</x:v>
      </x:c>
      <x:c r="G351" s="6" t="n">
        <x:v>11</x:v>
      </x:c>
      <x:c r="H351" s="6" t="n">
        <x:v>113</x:v>
      </x:c>
      <x:c r="I351" s="6" t="n">
        <x:v>15940</x:v>
      </x:c>
      <x:c r="J351" s="11" t="n">
        <x:f>E351/D351</x:f>
        <x:v>0.8721518987341772</x:v>
      </x:c>
      <x:c r="K351" s="11" t="n">
        <x:f>F351/D351</x:f>
        <x:v>0.12784810126582277</x:v>
      </x:c>
      <x:c r="L351" s="13" t="n">
        <x:f>I351/D351</x:f>
        <x:v>20.17721518987342</x:v>
      </x:c>
      <x:c r="M351" s="6" t="str">
        <x:v>Included</x:v>
      </x:c>
    </x:row>
    <x:row r="352" ht="23" customHeight="1">
      <x:c r="B352" s="12" t="str">
        <x:v>7428</x:v>
      </x:c>
      <x:c r="C352" s="6" t="str">
        <x:v>Woodbine Ave / Lake Shore Blvd E</x:v>
      </x:c>
      <x:c r="D352" s="6" t="n">
        <x:v>787</x:v>
      </x:c>
      <x:c r="E352" s="6" t="n">
        <x:v>570</x:v>
      </x:c>
      <x:c r="F352" s="6" t="n">
        <x:v>217</x:v>
      </x:c>
      <x:c r="G352" s="6" t="n">
        <x:v>11</x:v>
      </x:c>
      <x:c r="H352" s="6" t="n">
        <x:v>114</x:v>
      </x:c>
      <x:c r="I352" s="6" t="n">
        <x:v>7450</x:v>
      </x:c>
      <x:c r="J352" s="11" t="n">
        <x:f>E352/D352</x:f>
        <x:v>0.7242693773824651</x:v>
      </x:c>
      <x:c r="K352" s="11" t="n">
        <x:f>F352/D352</x:f>
        <x:v>0.27573062261753495</x:v>
      </x:c>
      <x:c r="L352" s="13" t="n">
        <x:f>I352/D352</x:f>
        <x:v>9.466327827191868</x:v>
      </x:c>
      <x:c r="M352" s="6" t="str">
        <x:v>Included</x:v>
      </x:c>
    </x:row>
    <x:row r="353" ht="23" customHeight="1">
      <x:c r="B353" s="12" t="str">
        <x:v>7429</x:v>
      </x:c>
      <x:c r="C353" s="6" t="str">
        <x:v>Woodbine Subway Station</x:v>
      </x:c>
      <x:c r="D353" s="6" t="n">
        <x:v>782</x:v>
      </x:c>
      <x:c r="E353" s="6" t="n">
        <x:v>782</x:v>
      </x:c>
      <x:c r="F353" s="6" t="n">
        <x:v>0</x:v>
      </x:c>
      <x:c r="G353" s="6" t="n">
        <x:v>11</x:v>
      </x:c>
      <x:c r="H353" s="6" t="n">
        <x:v>114</x:v>
      </x:c>
      <x:c r="I353" s="6" t="n">
        <x:v>9145</x:v>
      </x:c>
      <x:c r="J353" s="11" t="n">
        <x:f>E353/D353</x:f>
        <x:v>1</x:v>
      </x:c>
      <x:c r="K353" s="11" t="n">
        <x:f>F353/D353</x:f>
        <x:v>0</x:v>
      </x:c>
      <x:c r="L353" s="13" t="n">
        <x:f>I353/D353</x:f>
        <x:v>11.694373401534527</x:v>
      </x:c>
      <x:c r="M353" s="6" t="str">
        <x:v>Included</x:v>
      </x:c>
    </x:row>
    <x:row r="354" ht="23" customHeight="1">
      <x:c r="B354" s="12" t="str">
        <x:v>7430</x:v>
      </x:c>
      <x:c r="C354" s="6" t="str">
        <x:v>Marilyn Bell Park Tennis Court</x:v>
      </x:c>
      <x:c r="D354" s="6" t="n">
        <x:v>787</x:v>
      </x:c>
      <x:c r="E354" s="6" t="n">
        <x:v>787</x:v>
      </x:c>
      <x:c r="F354" s="6" t="n">
        <x:v>0</x:v>
      </x:c>
      <x:c r="G354" s="6" t="n">
        <x:v>11</x:v>
      </x:c>
      <x:c r="H354" s="6" t="n">
        <x:v>114</x:v>
      </x:c>
      <x:c r="I354" s="6" t="n">
        <x:v>16368</x:v>
      </x:c>
      <x:c r="J354" s="11" t="n">
        <x:f>E354/D354</x:f>
        <x:v>1</x:v>
      </x:c>
      <x:c r="K354" s="11" t="n">
        <x:f>F354/D354</x:f>
        <x:v>0</x:v>
      </x:c>
      <x:c r="L354" s="13" t="n">
        <x:f>I354/D354</x:f>
        <x:v>20.797966963151207</x:v>
      </x:c>
      <x:c r="M354" s="6" t="str">
        <x:v>Included</x:v>
      </x:c>
    </x:row>
    <x:row r="355" ht="23" customHeight="1">
      <x:c r="B355" s="12" t="str">
        <x:v>7431</x:v>
      </x:c>
      <x:c r="C355" s="6" t="str">
        <x:v>Gerrard St E / Leslie St</x:v>
      </x:c>
      <x:c r="D355" s="6" t="n">
        <x:v>789</x:v>
      </x:c>
      <x:c r="E355" s="6" t="n">
        <x:v>514</x:v>
      </x:c>
      <x:c r="F355" s="6" t="n">
        <x:v>275</x:v>
      </x:c>
      <x:c r="G355" s="6" t="n">
        <x:v>11</x:v>
      </x:c>
      <x:c r="H355" s="6" t="n">
        <x:v>114</x:v>
      </x:c>
      <x:c r="I355" s="6" t="n">
        <x:v>2139</x:v>
      </x:c>
      <x:c r="J355" s="11" t="n">
        <x:f>E355/D355</x:f>
        <x:v>0.6514575411913816</x:v>
      </x:c>
      <x:c r="K355" s="11" t="n">
        <x:f>F355/D355</x:f>
        <x:v>0.3485424588086185</x:v>
      </x:c>
      <x:c r="L355" s="13" t="n">
        <x:f>I355/D355</x:f>
        <x:v>2.711026615969582</x:v>
      </x:c>
      <x:c r="M355" s="6" t="str">
        <x:v>Included</x:v>
      </x:c>
    </x:row>
    <x:row r="356" ht="23" customHeight="1">
      <x:c r="B356" s="12" t="str">
        <x:v>7432</x:v>
      </x:c>
      <x:c r="C356" s="6" t="str">
        <x:v>Frederick St / King St E</x:v>
      </x:c>
      <x:c r="D356" s="6" t="n">
        <x:v>785</x:v>
      </x:c>
      <x:c r="E356" s="6" t="n">
        <x:v>744</x:v>
      </x:c>
      <x:c r="F356" s="6" t="n">
        <x:v>41</x:v>
      </x:c>
      <x:c r="G356" s="6" t="n">
        <x:v>11</x:v>
      </x:c>
      <x:c r="H356" s="6" t="n">
        <x:v>115</x:v>
      </x:c>
      <x:c r="I356" s="6" t="n">
        <x:v>17041</x:v>
      </x:c>
      <x:c r="J356" s="11" t="n">
        <x:f>E356/D356</x:f>
        <x:v>0.9477707006369427</x:v>
      </x:c>
      <x:c r="K356" s="11" t="n">
        <x:f>F356/D356</x:f>
        <x:v>0.05222929936305733</x:v>
      </x:c>
      <x:c r="L356" s="13" t="n">
        <x:f>I356/D356</x:f>
        <x:v>21.70828025477707</x:v>
      </x:c>
      <x:c r="M356" s="6" t="str">
        <x:v>Included</x:v>
      </x:c>
    </x:row>
    <x:row r="357" ht="23" customHeight="1">
      <x:c r="B357" s="12" t="str">
        <x:v>7433</x:v>
      </x:c>
      <x:c r="C357" s="6" t="str">
        <x:v>Dundas St E / Boulton Ave - SMART</x:v>
      </x:c>
      <x:c r="D357" s="6" t="n">
        <x:v>784</x:v>
      </x:c>
      <x:c r="E357" s="6" t="n">
        <x:v>538</x:v>
      </x:c>
      <x:c r="F357" s="6" t="n">
        <x:v>246</x:v>
      </x:c>
      <x:c r="G357" s="6" t="n">
        <x:v>11</x:v>
      </x:c>
      <x:c r="H357" s="6" t="n">
        <x:v>114</x:v>
      </x:c>
      <x:c r="I357" s="6" t="n">
        <x:v>2917</x:v>
      </x:c>
      <x:c r="J357" s="11" t="n">
        <x:f>E357/D357</x:f>
        <x:v>0.6862244897959183</x:v>
      </x:c>
      <x:c r="K357" s="11" t="n">
        <x:f>F357/D357</x:f>
        <x:v>0.3137755102040816</x:v>
      </x:c>
      <x:c r="L357" s="13" t="n">
        <x:f>I357/D357</x:f>
        <x:v>3.7206632653061225</x:v>
      </x:c>
      <x:c r="M357" s="6" t="str">
        <x:v>Included</x:v>
      </x:c>
    </x:row>
    <x:row r="358" ht="23" customHeight="1">
      <x:c r="B358" s="12" t="str">
        <x:v>7434</x:v>
      </x:c>
      <x:c r="C358" s="6" t="str">
        <x:v>91 Via Italia</x:v>
      </x:c>
      <x:c r="D358" s="6" t="n">
        <x:v>792</x:v>
      </x:c>
      <x:c r="E358" s="6" t="n">
        <x:v>778</x:v>
      </x:c>
      <x:c r="F358" s="6" t="n">
        <x:v>14</x:v>
      </x:c>
      <x:c r="G358" s="6" t="n">
        <x:v>11</x:v>
      </x:c>
      <x:c r="H358" s="6" t="n">
        <x:v>115</x:v>
      </x:c>
      <x:c r="I358" s="6" t="n">
        <x:v>12610</x:v>
      </x:c>
      <x:c r="J358" s="11" t="n">
        <x:f>E358/D358</x:f>
        <x:v>0.9823232323232324</x:v>
      </x:c>
      <x:c r="K358" s="11" t="n">
        <x:f>F358/D358</x:f>
        <x:v>0.017676767676767676</x:v>
      </x:c>
      <x:c r="L358" s="13" t="n">
        <x:f>I358/D358</x:f>
        <x:v>15.921717171717171</x:v>
      </x:c>
      <x:c r="M358" s="6" t="str">
        <x:v>Included</x:v>
      </x:c>
    </x:row>
    <x:row r="359" ht="23" customHeight="1">
      <x:c r="B359" s="12" t="str">
        <x:v>7435</x:v>
      </x:c>
      <x:c r="C359" s="6" t="str">
        <x:v>Rushton Rd / St. Clair Ave W</x:v>
      </x:c>
      <x:c r="D359" s="6" t="n">
        <x:v>782</x:v>
      </x:c>
      <x:c r="E359" s="6" t="n">
        <x:v>782</x:v>
      </x:c>
      <x:c r="F359" s="6" t="n">
        <x:v>0</x:v>
      </x:c>
      <x:c r="G359" s="6" t="n">
        <x:v>11</x:v>
      </x:c>
      <x:c r="H359" s="6" t="n">
        <x:v>116</x:v>
      </x:c>
      <x:c r="I359" s="6" t="n">
        <x:v>5092</x:v>
      </x:c>
      <x:c r="J359" s="11" t="n">
        <x:f>E359/D359</x:f>
        <x:v>1</x:v>
      </x:c>
      <x:c r="K359" s="11" t="n">
        <x:f>F359/D359</x:f>
        <x:v>0</x:v>
      </x:c>
      <x:c r="L359" s="13" t="n">
        <x:f>I359/D359</x:f>
        <x:v>6.5115089514066495</x:v>
      </x:c>
      <x:c r="M359" s="6" t="str">
        <x:v>Included</x:v>
      </x:c>
    </x:row>
    <x:row r="360" ht="23" customHeight="1">
      <x:c r="B360" s="12" t="str">
        <x:v>7437</x:v>
      </x:c>
      <x:c r="C360" s="6" t="str">
        <x:v>Concord Ave / Bloor St W</x:v>
      </x:c>
      <x:c r="D360" s="6" t="n">
        <x:v>786</x:v>
      </x:c>
      <x:c r="E360" s="6" t="n">
        <x:v>780</x:v>
      </x:c>
      <x:c r="F360" s="6" t="n">
        <x:v>6</x:v>
      </x:c>
      <x:c r="G360" s="6" t="n">
        <x:v>11</x:v>
      </x:c>
      <x:c r="H360" s="6" t="n">
        <x:v>114</x:v>
      </x:c>
      <x:c r="I360" s="6" t="n">
        <x:v>8611</x:v>
      </x:c>
      <x:c r="J360" s="11" t="n">
        <x:f>E360/D360</x:f>
        <x:v>0.9923664122137404</x:v>
      </x:c>
      <x:c r="K360" s="11" t="n">
        <x:f>F360/D360</x:f>
        <x:v>0.007633587786259542</x:v>
      </x:c>
      <x:c r="L360" s="13" t="n">
        <x:f>I360/D360</x:f>
        <x:v>10.955470737913487</x:v>
      </x:c>
      <x:c r="M360" s="6" t="str">
        <x:v>Included</x:v>
      </x:c>
    </x:row>
    <x:row r="361" ht="23" customHeight="1">
      <x:c r="B361" s="12" t="str">
        <x:v>7438</x:v>
      </x:c>
      <x:c r="C361" s="6" t="str">
        <x:v>Gothic Ave / Quebec Ave</x:v>
      </x:c>
      <x:c r="D361" s="6" t="n">
        <x:v>784</x:v>
      </x:c>
      <x:c r="E361" s="6" t="n">
        <x:v>784</x:v>
      </x:c>
      <x:c r="F361" s="6" t="n">
        <x:v>0</x:v>
      </x:c>
      <x:c r="G361" s="6" t="n">
        <x:v>11</x:v>
      </x:c>
      <x:c r="H361" s="6" t="n">
        <x:v>115</x:v>
      </x:c>
      <x:c r="I361" s="6" t="n">
        <x:v>12077</x:v>
      </x:c>
      <x:c r="J361" s="11" t="n">
        <x:f>E361/D361</x:f>
        <x:v>1</x:v>
      </x:c>
      <x:c r="K361" s="11" t="n">
        <x:f>F361/D361</x:f>
        <x:v>0</x:v>
      </x:c>
      <x:c r="L361" s="13" t="n">
        <x:f>I361/D361</x:f>
        <x:v>15.404336734693878</x:v>
      </x:c>
      <x:c r="M361" s="6" t="str">
        <x:v>Included</x:v>
      </x:c>
    </x:row>
    <x:row r="362" ht="23" customHeight="1">
      <x:c r="B362" s="12" t="str">
        <x:v>7441</x:v>
      </x:c>
      <x:c r="C362" s="6" t="str">
        <x:v>Pacific Ave / Glenlake Ave</x:v>
      </x:c>
      <x:c r="D362" s="6" t="n">
        <x:v>786</x:v>
      </x:c>
      <x:c r="E362" s="6" t="n">
        <x:v>777</x:v>
      </x:c>
      <x:c r="F362" s="6" t="n">
        <x:v>9</x:v>
      </x:c>
      <x:c r="G362" s="6" t="n">
        <x:v>11</x:v>
      </x:c>
      <x:c r="H362" s="6" t="n">
        <x:v>114</x:v>
      </x:c>
      <x:c r="I362" s="6" t="n">
        <x:v>12293</x:v>
      </x:c>
      <x:c r="J362" s="11" t="n">
        <x:f>E362/D362</x:f>
        <x:v>0.9885496183206107</x:v>
      </x:c>
      <x:c r="K362" s="11" t="n">
        <x:f>F362/D362</x:f>
        <x:v>0.011450381679389313</x:v>
      </x:c>
      <x:c r="L362" s="13" t="n">
        <x:f>I362/D362</x:f>
        <x:v>15.639949109414758</x:v>
      </x:c>
      <x:c r="M362" s="6" t="str">
        <x:v>Included</x:v>
      </x:c>
    </x:row>
    <x:row r="363" ht="23" customHeight="1">
      <x:c r="B363" s="12" t="str">
        <x:v>7442</x:v>
      </x:c>
      <x:c r="C363" s="6" t="str">
        <x:v>Lonsdale Rd / Spadina Rd</x:v>
      </x:c>
      <x:c r="D363" s="6" t="n">
        <x:v>788</x:v>
      </x:c>
      <x:c r="E363" s="6" t="n">
        <x:v>788</x:v>
      </x:c>
      <x:c r="F363" s="6" t="n">
        <x:v>0</x:v>
      </x:c>
      <x:c r="G363" s="6" t="n">
        <x:v>11</x:v>
      </x:c>
      <x:c r="H363" s="6" t="n">
        <x:v>115</x:v>
      </x:c>
      <x:c r="I363" s="6" t="n">
        <x:v>10709</x:v>
      </x:c>
      <x:c r="J363" s="11" t="n">
        <x:f>E363/D363</x:f>
        <x:v>1</x:v>
      </x:c>
      <x:c r="K363" s="11" t="n">
        <x:f>F363/D363</x:f>
        <x:v>0</x:v>
      </x:c>
      <x:c r="L363" s="13" t="n">
        <x:f>I363/D363</x:f>
        <x:v>13.59010152284264</x:v>
      </x:c>
      <x:c r="M363" s="6" t="str">
        <x:v>Included</x:v>
      </x:c>
    </x:row>
    <x:row r="364" ht="23" customHeight="1">
      <x:c r="B364" s="12" t="str">
        <x:v>7444</x:v>
      </x:c>
      <x:c r="C364" s="6" t="str">
        <x:v>Clendenan Ave / Rowland St - SMART</x:v>
      </x:c>
      <x:c r="D364" s="6" t="n">
        <x:v>781</x:v>
      </x:c>
      <x:c r="E364" s="6" t="n">
        <x:v>781</x:v>
      </x:c>
      <x:c r="F364" s="6" t="n">
        <x:v>0</x:v>
      </x:c>
      <x:c r="G364" s="6" t="n">
        <x:v>11</x:v>
      </x:c>
      <x:c r="H364" s="6" t="n">
        <x:v>114</x:v>
      </x:c>
      <x:c r="I364" s="6" t="n">
        <x:v>13520</x:v>
      </x:c>
      <x:c r="J364" s="11" t="n">
        <x:f>E364/D364</x:f>
        <x:v>1</x:v>
      </x:c>
      <x:c r="K364" s="11" t="n">
        <x:f>F364/D364</x:f>
        <x:v>0</x:v>
      </x:c>
      <x:c r="L364" s="13" t="n">
        <x:f>I364/D364</x:f>
        <x:v>17.311139564660692</x:v>
      </x:c>
      <x:c r="M364" s="6" t="str">
        <x:v>Included</x:v>
      </x:c>
    </x:row>
    <x:row r="365" ht="23" customHeight="1">
      <x:c r="B365" s="12" t="str">
        <x:v>7445</x:v>
      </x:c>
      <x:c r="C365" s="6" t="str">
        <x:v>Eastwood Rd / Coxwell Ave</x:v>
      </x:c>
      <x:c r="D365" s="6" t="n">
        <x:v>783</x:v>
      </x:c>
      <x:c r="E365" s="6" t="n">
        <x:v>672</x:v>
      </x:c>
      <x:c r="F365" s="6" t="n">
        <x:v>111</x:v>
      </x:c>
      <x:c r="G365" s="6" t="n">
        <x:v>11</x:v>
      </x:c>
      <x:c r="H365" s="6" t="n">
        <x:v>114</x:v>
      </x:c>
      <x:c r="I365" s="6" t="n">
        <x:v>2470</x:v>
      </x:c>
      <x:c r="J365" s="11" t="n">
        <x:f>E365/D365</x:f>
        <x:v>0.8582375478927203</x:v>
      </x:c>
      <x:c r="K365" s="11" t="n">
        <x:f>F365/D365</x:f>
        <x:v>0.1417624521072797</x:v>
      </x:c>
      <x:c r="L365" s="13" t="n">
        <x:f>I365/D365</x:f>
        <x:v>3.1545338441890167</x:v>
      </x:c>
      <x:c r="M365" s="6" t="str">
        <x:v>Included</x:v>
      </x:c>
    </x:row>
    <x:row r="366" ht="23" customHeight="1">
      <x:c r="B366" s="12" t="str">
        <x:v>7446</x:v>
      </x:c>
      <x:c r="C366" s="6" t="str">
        <x:v>Orchard Park</x:v>
      </x:c>
      <x:c r="D366" s="6" t="n">
        <x:v>788</x:v>
      </x:c>
      <x:c r="E366" s="6" t="n">
        <x:v>565</x:v>
      </x:c>
      <x:c r="F366" s="6" t="n">
        <x:v>223</x:v>
      </x:c>
      <x:c r="G366" s="6" t="n">
        <x:v>11</x:v>
      </x:c>
      <x:c r="H366" s="6" t="n">
        <x:v>114</x:v>
      </x:c>
      <x:c r="I366" s="6" t="n">
        <x:v>2807</x:v>
      </x:c>
      <x:c r="J366" s="11" t="n">
        <x:f>E366/D366</x:f>
        <x:v>0.7170050761421319</x:v>
      </x:c>
      <x:c r="K366" s="11" t="n">
        <x:f>F366/D366</x:f>
        <x:v>0.282994923857868</x:v>
      </x:c>
      <x:c r="L366" s="13" t="n">
        <x:f>I366/D366</x:f>
        <x:v>3.5621827411167515</x:v>
      </x:c>
      <x:c r="M366" s="6" t="str">
        <x:v>Included</x:v>
      </x:c>
    </x:row>
    <x:row r="367" ht="23" customHeight="1">
      <x:c r="B367" s="12" t="str">
        <x:v>7447</x:v>
      </x:c>
      <x:c r="C367" s="6" t="str">
        <x:v>Trent Ave / Danforth Ave</x:v>
      </x:c>
      <x:c r="D367" s="6" t="n">
        <x:v>785</x:v>
      </x:c>
      <x:c r="E367" s="6" t="n">
        <x:v>785</x:v>
      </x:c>
      <x:c r="F367" s="6" t="n">
        <x:v>0</x:v>
      </x:c>
      <x:c r="G367" s="6" t="n">
        <x:v>11</x:v>
      </x:c>
      <x:c r="H367" s="6" t="n">
        <x:v>115</x:v>
      </x:c>
      <x:c r="I367" s="6" t="n">
        <x:v>16974</x:v>
      </x:c>
      <x:c r="J367" s="11" t="n">
        <x:f>E367/D367</x:f>
        <x:v>1</x:v>
      </x:c>
      <x:c r="K367" s="11" t="n">
        <x:f>F367/D367</x:f>
        <x:v>0</x:v>
      </x:c>
      <x:c r="L367" s="13" t="n">
        <x:f>I367/D367</x:f>
        <x:v>21.62292993630573</x:v>
      </x:c>
      <x:c r="M367" s="6" t="str">
        <x:v>Included</x:v>
      </x:c>
    </x:row>
    <x:row r="368" ht="23" customHeight="1">
      <x:c r="B368" s="12" t="str">
        <x:v>7448</x:v>
      </x:c>
      <x:c r="C368" s="6" t="str">
        <x:v>Goodwood Park Crt / Dentonia Park</x:v>
      </x:c>
      <x:c r="D368" s="6" t="n">
        <x:v>783</x:v>
      </x:c>
      <x:c r="E368" s="6" t="n">
        <x:v>783</x:v>
      </x:c>
      <x:c r="F368" s="6" t="n">
        <x:v>0</x:v>
      </x:c>
      <x:c r="G368" s="6" t="n">
        <x:v>11</x:v>
      </x:c>
      <x:c r="H368" s="6" t="n">
        <x:v>114</x:v>
      </x:c>
      <x:c r="I368" s="6" t="n">
        <x:v>13228</x:v>
      </x:c>
      <x:c r="J368" s="11" t="n">
        <x:f>E368/D368</x:f>
        <x:v>1</x:v>
      </x:c>
      <x:c r="K368" s="11" t="n">
        <x:f>F368/D368</x:f>
        <x:v>0</x:v>
      </x:c>
      <x:c r="L368" s="13" t="n">
        <x:f>I368/D368</x:f>
        <x:v>16.893997445721585</x:v>
      </x:c>
      <x:c r="M368" s="6" t="str">
        <x:v>Included</x:v>
      </x:c>
    </x:row>
    <x:row r="369" ht="23" customHeight="1">
      <x:c r="B369" s="12" t="str">
        <x:v>7449</x:v>
      </x:c>
      <x:c r="C369" s="6" t="str">
        <x:v>Cosburn Ave / Cedarvale Ave</x:v>
      </x:c>
      <x:c r="D369" s="6" t="n">
        <x:v>789</x:v>
      </x:c>
      <x:c r="E369" s="6" t="n">
        <x:v>789</x:v>
      </x:c>
      <x:c r="F369" s="6" t="n">
        <x:v>0</x:v>
      </x:c>
      <x:c r="G369" s="6" t="n">
        <x:v>11</x:v>
      </x:c>
      <x:c r="H369" s="6" t="n">
        <x:v>114</x:v>
      </x:c>
      <x:c r="I369" s="6" t="n">
        <x:v>8799</x:v>
      </x:c>
      <x:c r="J369" s="11" t="n">
        <x:f>E369/D369</x:f>
        <x:v>1</x:v>
      </x:c>
      <x:c r="K369" s="11" t="n">
        <x:f>F369/D369</x:f>
        <x:v>0</x:v>
      </x:c>
      <x:c r="L369" s="13" t="n">
        <x:f>I369/D369</x:f>
        <x:v>11.152091254752852</x:v>
      </x:c>
      <x:c r="M369" s="6" t="str">
        <x:v>Included</x:v>
      </x:c>
    </x:row>
    <x:row r="370" ht="23" customHeight="1">
      <x:c r="B370" s="12" t="str">
        <x:v>7450</x:v>
      </x:c>
      <x:c r="C370" s="6" t="str">
        <x:v>Carlaw Ave / Danforth Ave</x:v>
      </x:c>
      <x:c r="D370" s="6" t="n">
        <x:v>783</x:v>
      </x:c>
      <x:c r="E370" s="6" t="n">
        <x:v>783</x:v>
      </x:c>
      <x:c r="F370" s="6" t="n">
        <x:v>0</x:v>
      </x:c>
      <x:c r="G370" s="6" t="n">
        <x:v>11</x:v>
      </x:c>
      <x:c r="H370" s="6" t="n">
        <x:v>114</x:v>
      </x:c>
      <x:c r="I370" s="6" t="n">
        <x:v>9509</x:v>
      </x:c>
      <x:c r="J370" s="11" t="n">
        <x:f>E370/D370</x:f>
        <x:v>1</x:v>
      </x:c>
      <x:c r="K370" s="11" t="n">
        <x:f>F370/D370</x:f>
        <x:v>0</x:v>
      </x:c>
      <x:c r="L370" s="13" t="n">
        <x:f>I370/D370</x:f>
        <x:v>12.144316730523627</x:v>
      </x:c>
      <x:c r="M370" s="6" t="str">
        <x:v>Included</x:v>
      </x:c>
    </x:row>
    <x:row r="371" ht="23" customHeight="1">
      <x:c r="B371" s="12" t="str">
        <x:v>7451</x:v>
      </x:c>
      <x:c r="C371" s="6" t="str">
        <x:v>Western Battery Rd / Pirandello St</x:v>
      </x:c>
      <x:c r="D371" s="6" t="n">
        <x:v>788</x:v>
      </x:c>
      <x:c r="E371" s="6" t="n">
        <x:v>551</x:v>
      </x:c>
      <x:c r="F371" s="6" t="n">
        <x:v>237</x:v>
      </x:c>
      <x:c r="G371" s="6" t="n">
        <x:v>11</x:v>
      </x:c>
      <x:c r="H371" s="6" t="n">
        <x:v>114</x:v>
      </x:c>
      <x:c r="I371" s="6" t="n">
        <x:v>11348</x:v>
      </x:c>
      <x:c r="J371" s="11" t="n">
        <x:f>E371/D371</x:f>
        <x:v>0.699238578680203</x:v>
      </x:c>
      <x:c r="K371" s="11" t="n">
        <x:f>F371/D371</x:f>
        <x:v>0.30076142131979694</x:v>
      </x:c>
      <x:c r="L371" s="13" t="n">
        <x:f>I371/D371</x:f>
        <x:v>14.401015228426395</x:v>
      </x:c>
      <x:c r="M371" s="6" t="str">
        <x:v>Included</x:v>
      </x:c>
    </x:row>
    <x:row r="372" ht="23" customHeight="1">
      <x:c r="B372" s="12" t="str">
        <x:v>7452</x:v>
      </x:c>
      <x:c r="C372" s="6" t="str">
        <x:v>Bleecker St / St James Ave</x:v>
      </x:c>
      <x:c r="D372" s="6" t="n">
        <x:v>785</x:v>
      </x:c>
      <x:c r="E372" s="6" t="n">
        <x:v>785</x:v>
      </x:c>
      <x:c r="F372" s="6" t="n">
        <x:v>0</x:v>
      </x:c>
      <x:c r="G372" s="6" t="n">
        <x:v>11</x:v>
      </x:c>
      <x:c r="H372" s="6" t="n">
        <x:v>114</x:v>
      </x:c>
      <x:c r="I372" s="6" t="n">
        <x:v>12374</x:v>
      </x:c>
      <x:c r="J372" s="11" t="n">
        <x:f>E372/D372</x:f>
        <x:v>1</x:v>
      </x:c>
      <x:c r="K372" s="11" t="n">
        <x:f>F372/D372</x:f>
        <x:v>0</x:v>
      </x:c>
      <x:c r="L372" s="13" t="n">
        <x:f>I372/D372</x:f>
        <x:v>15.763057324840764</x:v>
      </x:c>
      <x:c r="M372" s="6" t="str">
        <x:v>Included</x:v>
      </x:c>
    </x:row>
    <x:row r="373" ht="23" customHeight="1">
      <x:c r="B373" s="12" t="str">
        <x:v>7453</x:v>
      </x:c>
      <x:c r="C373" s="6" t="str">
        <x:v>Jarvis St / Maitland Pl</x:v>
      </x:c>
      <x:c r="D373" s="6" t="n">
        <x:v>792</x:v>
      </x:c>
      <x:c r="E373" s="6" t="n">
        <x:v>792</x:v>
      </x:c>
      <x:c r="F373" s="6" t="n">
        <x:v>0</x:v>
      </x:c>
      <x:c r="G373" s="6" t="n">
        <x:v>11</x:v>
      </x:c>
      <x:c r="H373" s="6" t="n">
        <x:v>114</x:v>
      </x:c>
      <x:c r="I373" s="6" t="n">
        <x:v>8637</x:v>
      </x:c>
      <x:c r="J373" s="11" t="n">
        <x:f>E373/D373</x:f>
        <x:v>1</x:v>
      </x:c>
      <x:c r="K373" s="11" t="n">
        <x:f>F373/D373</x:f>
        <x:v>0</x:v>
      </x:c>
      <x:c r="L373" s="13" t="n">
        <x:f>I373/D373</x:f>
        <x:v>10.905303030303031</x:v>
      </x:c>
      <x:c r="M373" s="6" t="str">
        <x:v>Included</x:v>
      </x:c>
    </x:row>
    <x:row r="374" ht="23" customHeight="1">
      <x:c r="B374" s="12" t="str">
        <x:v>7454</x:v>
      </x:c>
      <x:c r="C374" s="6" t="str">
        <x:v>Pottery Rd / Lower Don River Trail</x:v>
      </x:c>
      <x:c r="D374" s="6" t="n">
        <x:v>793</x:v>
      </x:c>
      <x:c r="E374" s="6" t="n">
        <x:v>793</x:v>
      </x:c>
      <x:c r="F374" s="6" t="n">
        <x:v>0</x:v>
      </x:c>
      <x:c r="G374" s="6" t="n">
        <x:v>11</x:v>
      </x:c>
      <x:c r="H374" s="6" t="n">
        <x:v>115</x:v>
      </x:c>
      <x:c r="I374" s="6" t="n">
        <x:v>8044</x:v>
      </x:c>
      <x:c r="J374" s="11" t="n">
        <x:f>E374/D374</x:f>
        <x:v>1</x:v>
      </x:c>
      <x:c r="K374" s="11" t="n">
        <x:f>F374/D374</x:f>
        <x:v>0</x:v>
      </x:c>
      <x:c r="L374" s="13" t="n">
        <x:f>I374/D374</x:f>
        <x:v>10.143757881462799</x:v>
      </x:c>
      <x:c r="M374" s="6" t="str">
        <x:v>Included</x:v>
      </x:c>
    </x:row>
    <x:row r="375" ht="23" customHeight="1">
      <x:c r="B375" s="12" t="str">
        <x:v>7455</x:v>
      </x:c>
      <x:c r="C375" s="6" t="str">
        <x:v>E.T. Seton Park (Eglinton Ave E / Leslie St)</x:v>
      </x:c>
      <x:c r="D375" s="6" t="n">
        <x:v>789</x:v>
      </x:c>
      <x:c r="E375" s="6" t="n">
        <x:v>789</x:v>
      </x:c>
      <x:c r="F375" s="6" t="n">
        <x:v>0</x:v>
      </x:c>
      <x:c r="G375" s="6" t="n">
        <x:v>11</x:v>
      </x:c>
      <x:c r="H375" s="6" t="n">
        <x:v>114</x:v>
      </x:c>
      <x:c r="I375" s="6" t="n">
        <x:v>19555</x:v>
      </x:c>
      <x:c r="J375" s="11" t="n">
        <x:f>E375/D375</x:f>
        <x:v>1</x:v>
      </x:c>
      <x:c r="K375" s="11" t="n">
        <x:f>F375/D375</x:f>
        <x:v>0</x:v>
      </x:c>
      <x:c r="L375" s="13" t="n">
        <x:f>I375/D375</x:f>
        <x:v>24.784537389100127</x:v>
      </x:c>
      <x:c r="M375" s="6" t="str">
        <x:v>Included</x:v>
      </x:c>
    </x:row>
    <x:row r="376" ht="23" customHeight="1">
      <x:c r="B376" s="12" t="str">
        <x:v>7457</x:v>
      </x:c>
      <x:c r="C376" s="6" t="str">
        <x:v>Queen's Park Cres W / Hoskin Ave</x:v>
      </x:c>
      <x:c r="D376" s="6" t="n">
        <x:v>790</x:v>
      </x:c>
      <x:c r="E376" s="6" t="n">
        <x:v>761</x:v>
      </x:c>
      <x:c r="F376" s="6" t="n">
        <x:v>29</x:v>
      </x:c>
      <x:c r="G376" s="6" t="n">
        <x:v>11</x:v>
      </x:c>
      <x:c r="H376" s="6" t="n">
        <x:v>115</x:v>
      </x:c>
      <x:c r="I376" s="6" t="n">
        <x:v>11918</x:v>
      </x:c>
      <x:c r="J376" s="11" t="n">
        <x:f>E376/D376</x:f>
        <x:v>0.9632911392405064</x:v>
      </x:c>
      <x:c r="K376" s="11" t="n">
        <x:f>F376/D376</x:f>
        <x:v>0.03670886075949367</x:v>
      </x:c>
      <x:c r="L376" s="13" t="n">
        <x:f>I376/D376</x:f>
        <x:v>15.086075949367089</x:v>
      </x:c>
      <x:c r="M376" s="6" t="str">
        <x:v>Included</x:v>
      </x:c>
    </x:row>
    <x:row r="377" ht="23" customHeight="1">
      <x:c r="B377" s="12" t="str">
        <x:v>7458</x:v>
      </x:c>
      <x:c r="C377" s="6" t="str">
        <x:v>Church St / Lombard St</x:v>
      </x:c>
      <x:c r="D377" s="6" t="n">
        <x:v>778</x:v>
      </x:c>
      <x:c r="E377" s="6" t="n">
        <x:v>698</x:v>
      </x:c>
      <x:c r="F377" s="6" t="n">
        <x:v>80</x:v>
      </x:c>
      <x:c r="G377" s="6" t="n">
        <x:v>11</x:v>
      </x:c>
      <x:c r="H377" s="6" t="n">
        <x:v>114</x:v>
      </x:c>
      <x:c r="I377" s="6" t="n">
        <x:v>4309</x:v>
      </x:c>
      <x:c r="J377" s="11" t="n">
        <x:f>E377/D377</x:f>
        <x:v>0.897172236503856</x:v>
      </x:c>
      <x:c r="K377" s="11" t="n">
        <x:f>F377/D377</x:f>
        <x:v>0.10282776349614396</x:v>
      </x:c>
      <x:c r="L377" s="13" t="n">
        <x:f>I377/D377</x:f>
        <x:v>5.538560411311054</x:v>
      </x:c>
      <x:c r="M377" s="6" t="str">
        <x:v>Included</x:v>
      </x:c>
    </x:row>
    <x:row r="378" ht="23" customHeight="1">
      <x:c r="B378" s="12" t="str">
        <x:v>7459</x:v>
      </x:c>
      <x:c r="C378" s="6" t="str">
        <x:v>St. Clair Ave W / Winona Dr</x:v>
      </x:c>
      <x:c r="D378" s="6" t="n">
        <x:v>791</x:v>
      </x:c>
      <x:c r="E378" s="6" t="n">
        <x:v>791</x:v>
      </x:c>
      <x:c r="F378" s="6" t="n">
        <x:v>0</x:v>
      </x:c>
      <x:c r="G378" s="6" t="n">
        <x:v>11</x:v>
      </x:c>
      <x:c r="H378" s="6" t="n">
        <x:v>114</x:v>
      </x:c>
      <x:c r="I378" s="6" t="n">
        <x:v>6728</x:v>
      </x:c>
      <x:c r="J378" s="11" t="n">
        <x:f>E378/D378</x:f>
        <x:v>1</x:v>
      </x:c>
      <x:c r="K378" s="11" t="n">
        <x:f>F378/D378</x:f>
        <x:v>0</x:v>
      </x:c>
      <x:c r="L378" s="13" t="n">
        <x:f>I378/D378</x:f>
        <x:v>8.505689001264223</x:v>
      </x:c>
      <x:c r="M378" s="6" t="str">
        <x:v>Included</x:v>
      </x:c>
    </x:row>
    <x:row r="379" ht="23" customHeight="1">
      <x:c r="B379" s="12" t="str">
        <x:v>7460</x:v>
      </x:c>
      <x:c r="C379" s="6" t="str">
        <x:v>High Park Outdoor Pool</x:v>
      </x:c>
      <x:c r="D379" s="6" t="n">
        <x:v>786</x:v>
      </x:c>
      <x:c r="E379" s="6" t="n">
        <x:v>786</x:v>
      </x:c>
      <x:c r="F379" s="6" t="n">
        <x:v>0</x:v>
      </x:c>
      <x:c r="G379" s="6" t="n">
        <x:v>11</x:v>
      </x:c>
      <x:c r="H379" s="6" t="n">
        <x:v>116</x:v>
      </x:c>
      <x:c r="I379" s="6" t="n">
        <x:v>18042</x:v>
      </x:c>
      <x:c r="J379" s="11" t="n">
        <x:f>E379/D379</x:f>
        <x:v>1</x:v>
      </x:c>
      <x:c r="K379" s="11" t="n">
        <x:f>F379/D379</x:f>
        <x:v>0</x:v>
      </x:c>
      <x:c r="L379" s="13" t="n">
        <x:f>I379/D379</x:f>
        <x:v>22.954198473282442</x:v>
      </x:c>
      <x:c r="M379" s="6" t="str">
        <x:v>Included</x:v>
      </x:c>
    </x:row>
    <x:row r="380" ht="23" customHeight="1">
      <x:c r="B380" s="12" t="str">
        <x:v>7461</x:v>
      </x:c>
      <x:c r="C380" s="6" t="str">
        <x:v>High Park Amphitheatre</x:v>
      </x:c>
      <x:c r="D380" s="6" t="n">
        <x:v>787</x:v>
      </x:c>
      <x:c r="E380" s="6" t="n">
        <x:v>771</x:v>
      </x:c>
      <x:c r="F380" s="6" t="n">
        <x:v>16</x:v>
      </x:c>
      <x:c r="G380" s="6" t="n">
        <x:v>11</x:v>
      </x:c>
      <x:c r="H380" s="6" t="n">
        <x:v>113</x:v>
      </x:c>
      <x:c r="I380" s="6" t="n">
        <x:v>9407</x:v>
      </x:c>
      <x:c r="J380" s="11" t="n">
        <x:f>E380/D380</x:f>
        <x:v>0.9796696315120712</x:v>
      </x:c>
      <x:c r="K380" s="11" t="n">
        <x:f>F380/D380</x:f>
        <x:v>0.020330368487928845</x:v>
      </x:c>
      <x:c r="L380" s="13" t="n">
        <x:f>I380/D380</x:f>
        <x:v>11.952986022871665</x:v>
      </x:c>
      <x:c r="M380" s="6" t="str">
        <x:v>Included</x:v>
      </x:c>
    </x:row>
    <x:row r="381" ht="23" customHeight="1">
      <x:c r="B381" s="12" t="str">
        <x:v>7462</x:v>
      </x:c>
      <x:c r="C381" s="6" t="str">
        <x:v>Richmond St E / Yonge St</x:v>
      </x:c>
      <x:c r="D381" s="6" t="n">
        <x:v>783</x:v>
      </x:c>
      <x:c r="E381" s="6" t="n">
        <x:v>771</x:v>
      </x:c>
      <x:c r="F381" s="6" t="n">
        <x:v>12</x:v>
      </x:c>
      <x:c r="G381" s="6" t="n">
        <x:v>11</x:v>
      </x:c>
      <x:c r="H381" s="6" t="n">
        <x:v>114</x:v>
      </x:c>
      <x:c r="I381" s="6" t="n">
        <x:v>7945</x:v>
      </x:c>
      <x:c r="J381" s="11" t="n">
        <x:f>E381/D381</x:f>
        <x:v>0.9846743295019157</x:v>
      </x:c>
      <x:c r="K381" s="11" t="n">
        <x:f>F381/D381</x:f>
        <x:v>0.01532567049808429</x:v>
      </x:c>
      <x:c r="L381" s="13" t="n">
        <x:f>I381/D381</x:f>
        <x:v>10.146871008939975</x:v>
      </x:c>
      <x:c r="M381" s="6" t="str">
        <x:v>Included</x:v>
      </x:c>
    </x:row>
    <x:row r="382" ht="23" customHeight="1">
      <x:c r="B382" s="12" t="str">
        <x:v>7465</x:v>
      </x:c>
      <x:c r="C382" s="6" t="str">
        <x:v>Russell Hill Rd / St. Clair Ave W</x:v>
      </x:c>
      <x:c r="D382" s="6" t="n">
        <x:v>783</x:v>
      </x:c>
      <x:c r="E382" s="6" t="n">
        <x:v>783</x:v>
      </x:c>
      <x:c r="F382" s="6" t="n">
        <x:v>0</x:v>
      </x:c>
      <x:c r="G382" s="6" t="n">
        <x:v>11</x:v>
      </x:c>
      <x:c r="H382" s="6" t="n">
        <x:v>114</x:v>
      </x:c>
      <x:c r="I382" s="6" t="n">
        <x:v>11734</x:v>
      </x:c>
      <x:c r="J382" s="11" t="n">
        <x:f>E382/D382</x:f>
        <x:v>1</x:v>
      </x:c>
      <x:c r="K382" s="11" t="n">
        <x:f>F382/D382</x:f>
        <x:v>0</x:v>
      </x:c>
      <x:c r="L382" s="13" t="n">
        <x:f>I382/D382</x:f>
        <x:v>14.98595146871009</x:v>
      </x:c>
      <x:c r="M382" s="6" t="str">
        <x:v>Included</x:v>
      </x:c>
    </x:row>
    <x:row r="383" ht="23" customHeight="1">
      <x:c r="B383" s="12" t="str">
        <x:v>7466</x:v>
      </x:c>
      <x:c r="C383" s="6" t="str">
        <x:v>Glendonwynne Rd / Bloor St W</x:v>
      </x:c>
      <x:c r="D383" s="6" t="n">
        <x:v>789</x:v>
      </x:c>
      <x:c r="E383" s="6" t="n">
        <x:v>762</x:v>
      </x:c>
      <x:c r="F383" s="6" t="n">
        <x:v>27</x:v>
      </x:c>
      <x:c r="G383" s="6" t="n">
        <x:v>11</x:v>
      </x:c>
      <x:c r="H383" s="6" t="n">
        <x:v>116</x:v>
      </x:c>
      <x:c r="I383" s="6" t="n">
        <x:v>9325</x:v>
      </x:c>
      <x:c r="J383" s="11" t="n">
        <x:f>E383/D383</x:f>
        <x:v>0.9657794676806084</x:v>
      </x:c>
      <x:c r="K383" s="11" t="n">
        <x:f>F383/D383</x:f>
        <x:v>0.034220532319391636</x:v>
      </x:c>
      <x:c r="L383" s="13" t="n">
        <x:f>I383/D383</x:f>
        <x:v>11.818757921419518</x:v>
      </x:c>
      <x:c r="M383" s="6" t="str">
        <x:v>Included</x:v>
      </x:c>
    </x:row>
    <x:row r="384" ht="23" customHeight="1">
      <x:c r="B384" s="12" t="str">
        <x:v>7467</x:v>
      </x:c>
      <x:c r="C384" s="6" t="str">
        <x:v>Lower Simcoe St / Bremner Blvd</x:v>
      </x:c>
      <x:c r="D384" s="6" t="n">
        <x:v>787</x:v>
      </x:c>
      <x:c r="E384" s="6" t="n">
        <x:v>749</x:v>
      </x:c>
      <x:c r="F384" s="6" t="n">
        <x:v>38</x:v>
      </x:c>
      <x:c r="G384" s="6" t="n">
        <x:v>11</x:v>
      </x:c>
      <x:c r="H384" s="6" t="n">
        <x:v>114</x:v>
      </x:c>
      <x:c r="I384" s="6" t="n">
        <x:v>5243</x:v>
      </x:c>
      <x:c r="J384" s="11" t="n">
        <x:f>E384/D384</x:f>
        <x:v>0.951715374841169</x:v>
      </x:c>
      <x:c r="K384" s="11" t="n">
        <x:f>F384/D384</x:f>
        <x:v>0.048284625158831</x:v>
      </x:c>
      <x:c r="L384" s="13" t="n">
        <x:f>I384/D384</x:f>
        <x:v>6.662007623888183</x:v>
      </x:c>
      <x:c r="M384" s="6" t="str">
        <x:v>Included</x:v>
      </x:c>
    </x:row>
    <x:row r="385" ht="23" customHeight="1">
      <x:c r="B385" s="12" t="str">
        <x:v>7468</x:v>
      </x:c>
      <x:c r="C385" s="6" t="str">
        <x:v>Front St W / Simcoe St</x:v>
      </x:c>
      <x:c r="D385" s="6" t="n">
        <x:v>790</x:v>
      </x:c>
      <x:c r="E385" s="6" t="n">
        <x:v>785</x:v>
      </x:c>
      <x:c r="F385" s="6" t="n">
        <x:v>5</x:v>
      </x:c>
      <x:c r="G385" s="6" t="n">
        <x:v>11</x:v>
      </x:c>
      <x:c r="H385" s="6" t="n">
        <x:v>114</x:v>
      </x:c>
      <x:c r="I385" s="6" t="n">
        <x:v>8447</x:v>
      </x:c>
      <x:c r="J385" s="11" t="n">
        <x:f>E385/D385</x:f>
        <x:v>0.9936708860759493</x:v>
      </x:c>
      <x:c r="K385" s="11" t="n">
        <x:f>F385/D385</x:f>
        <x:v>0.006329113924050633</x:v>
      </x:c>
      <x:c r="L385" s="13" t="n">
        <x:f>I385/D385</x:f>
        <x:v>10.692405063291138</x:v>
      </x:c>
      <x:c r="M385" s="6" t="str">
        <x:v>Included</x:v>
      </x:c>
    </x:row>
    <x:row r="386" ht="23" customHeight="1">
      <x:c r="B386" s="12" t="str">
        <x:v>7469</x:v>
      </x:c>
      <x:c r="C386" s="6" t="str">
        <x:v>York St / Wellington St W (1)</x:v>
      </x:c>
      <x:c r="D386" s="6" t="n">
        <x:v>793</x:v>
      </x:c>
      <x:c r="E386" s="6" t="n">
        <x:v>738</x:v>
      </x:c>
      <x:c r="F386" s="6" t="n">
        <x:v>55</x:v>
      </x:c>
      <x:c r="G386" s="6" t="n">
        <x:v>11</x:v>
      </x:c>
      <x:c r="H386" s="6" t="n">
        <x:v>114</x:v>
      </x:c>
      <x:c r="I386" s="6" t="n">
        <x:v>9606</x:v>
      </x:c>
      <x:c r="J386" s="11" t="n">
        <x:f>E386/D386</x:f>
        <x:v>0.9306431273644389</x:v>
      </x:c>
      <x:c r="K386" s="11" t="n">
        <x:f>F386/D386</x:f>
        <x:v>0.06935687263556116</x:v>
      </x:c>
      <x:c r="L386" s="13" t="n">
        <x:f>I386/D386</x:f>
        <x:v>12.113493064312737</x:v>
      </x:c>
      <x:c r="M386" s="6" t="str">
        <x:v>Included</x:v>
      </x:c>
    </x:row>
    <x:row r="387" ht="23" customHeight="1">
      <x:c r="B387" s="12" t="str">
        <x:v>7471</x:v>
      </x:c>
      <x:c r="C387" s="6" t="str">
        <x:v>2300 Lakeshore Blvd W</x:v>
      </x:c>
      <x:c r="D387" s="6" t="n">
        <x:v>788</x:v>
      </x:c>
      <x:c r="E387" s="6" t="n">
        <x:v>384</x:v>
      </x:c>
      <x:c r="F387" s="6" t="n">
        <x:v>404</x:v>
      </x:c>
      <x:c r="G387" s="6" t="n">
        <x:v>11</x:v>
      </x:c>
      <x:c r="H387" s="6" t="n">
        <x:v>114</x:v>
      </x:c>
      <x:c r="I387" s="6" t="n">
        <x:v>971</x:v>
      </x:c>
      <x:c r="J387" s="11" t="n">
        <x:f>E387/D387</x:f>
        <x:v>0.4873096446700508</x:v>
      </x:c>
      <x:c r="K387" s="11" t="n">
        <x:f>F387/D387</x:f>
        <x:v>0.5126903553299492</x:v>
      </x:c>
      <x:c r="L387" s="13" t="n">
        <x:f>I387/D387</x:f>
        <x:v>1.232233502538071</x:v>
      </x:c>
      <x:c r="M387" s="6" t="str">
        <x:v>Included</x:v>
      </x:c>
    </x:row>
    <x:row r="388" ht="23" customHeight="1">
      <x:c r="B388" s="12" t="str">
        <x:v>7473</x:v>
      </x:c>
      <x:c r="C388" s="6" t="str">
        <x:v>Adelaide St W / Strachan Ave</x:v>
      </x:c>
      <x:c r="D388" s="6" t="n">
        <x:v>786</x:v>
      </x:c>
      <x:c r="E388" s="6" t="n">
        <x:v>516</x:v>
      </x:c>
      <x:c r="F388" s="6" t="n">
        <x:v>270</x:v>
      </x:c>
      <x:c r="G388" s="6" t="n">
        <x:v>11</x:v>
      </x:c>
      <x:c r="H388" s="6" t="n">
        <x:v>115</x:v>
      </x:c>
      <x:c r="I388" s="6" t="n">
        <x:v>3577</x:v>
      </x:c>
      <x:c r="J388" s="11" t="n">
        <x:f>E388/D388</x:f>
        <x:v>0.6564885496183206</x:v>
      </x:c>
      <x:c r="K388" s="11" t="n">
        <x:f>F388/D388</x:f>
        <x:v>0.3435114503816794</x:v>
      </x:c>
      <x:c r="L388" s="13" t="n">
        <x:f>I388/D388</x:f>
        <x:v>4.5508905852417305</x:v>
      </x:c>
      <x:c r="M388" s="6" t="str">
        <x:v>Included</x:v>
      </x:c>
    </x:row>
    <x:row r="389" ht="23" customHeight="1">
      <x:c r="B389" s="12" t="str">
        <x:v>7474</x:v>
      </x:c>
      <x:c r="C389" s="6" t="str">
        <x:v>Clarence Square</x:v>
      </x:c>
      <x:c r="D389" s="6" t="n">
        <x:v>781</x:v>
      </x:c>
      <x:c r="E389" s="6" t="n">
        <x:v>616</x:v>
      </x:c>
      <x:c r="F389" s="6" t="n">
        <x:v>165</x:v>
      </x:c>
      <x:c r="G389" s="6" t="n">
        <x:v>11</x:v>
      </x:c>
      <x:c r="H389" s="6" t="n">
        <x:v>113</x:v>
      </x:c>
      <x:c r="I389" s="6" t="n">
        <x:v>4441</x:v>
      </x:c>
      <x:c r="J389" s="11" t="n">
        <x:f>E389/D389</x:f>
        <x:v>0.7887323943661971</x:v>
      </x:c>
      <x:c r="K389" s="11" t="n">
        <x:f>F389/D389</x:f>
        <x:v>0.2112676056338028</x:v>
      </x:c>
      <x:c r="L389" s="13" t="n">
        <x:f>I389/D389</x:f>
        <x:v>5.686299615877081</x:v>
      </x:c>
      <x:c r="M389" s="6" t="str">
        <x:v>Included</x:v>
      </x:c>
    </x:row>
    <x:row r="390" ht="23" customHeight="1">
      <x:c r="B390" s="12" t="str">
        <x:v>7475</x:v>
      </x:c>
      <x:c r="C390" s="6" t="str">
        <x:v>Jarvis St / Richmond St E</x:v>
      </x:c>
      <x:c r="D390" s="6" t="n">
        <x:v>795</x:v>
      </x:c>
      <x:c r="E390" s="6" t="n">
        <x:v>733</x:v>
      </x:c>
      <x:c r="F390" s="6" t="n">
        <x:v>62</x:v>
      </x:c>
      <x:c r="G390" s="6" t="n">
        <x:v>11</x:v>
      </x:c>
      <x:c r="H390" s="6" t="n">
        <x:v>115</x:v>
      </x:c>
      <x:c r="I390" s="6" t="n">
        <x:v>7270</x:v>
      </x:c>
      <x:c r="J390" s="11" t="n">
        <x:f>E390/D390</x:f>
        <x:v>0.9220125786163522</x:v>
      </x:c>
      <x:c r="K390" s="11" t="n">
        <x:f>F390/D390</x:f>
        <x:v>0.0779874213836478</x:v>
      </x:c>
      <x:c r="L390" s="13" t="n">
        <x:f>I390/D390</x:f>
        <x:v>9.144654088050315</x:v>
      </x:c>
      <x:c r="M390" s="6" t="str">
        <x:v>Included</x:v>
      </x:c>
    </x:row>
    <x:row r="391" ht="23" customHeight="1">
      <x:c r="B391" s="12" t="str">
        <x:v>7476</x:v>
      </x:c>
      <x:c r="C391" s="6" t="str">
        <x:v>Symington Ave / Dupont St</x:v>
      </x:c>
      <x:c r="D391" s="6" t="n">
        <x:v>791</x:v>
      </x:c>
      <x:c r="E391" s="6" t="n">
        <x:v>782</x:v>
      </x:c>
      <x:c r="F391" s="6" t="n">
        <x:v>9</x:v>
      </x:c>
      <x:c r="G391" s="6" t="n">
        <x:v>11</x:v>
      </x:c>
      <x:c r="H391" s="6" t="n">
        <x:v>114</x:v>
      </x:c>
      <x:c r="I391" s="6" t="n">
        <x:v>9977</x:v>
      </x:c>
      <x:c r="J391" s="11" t="n">
        <x:f>E391/D391</x:f>
        <x:v>0.988621997471555</x:v>
      </x:c>
      <x:c r="K391" s="11" t="n">
        <x:f>F391/D391</x:f>
        <x:v>0.011378002528445006</x:v>
      </x:c>
      <x:c r="L391" s="13" t="n">
        <x:f>I391/D391</x:f>
        <x:v>12.61314791403287</x:v>
      </x:c>
      <x:c r="M391" s="6" t="str">
        <x:v>Included</x:v>
      </x:c>
    </x:row>
    <x:row r="392" ht="23" customHeight="1">
      <x:c r="B392" s="12" t="str">
        <x:v>7477</x:v>
      </x:c>
      <x:c r="C392" s="6" t="str">
        <x:v>Antler St / Campbell Ave - SMART</x:v>
      </x:c>
      <x:c r="D392" s="6" t="n">
        <x:v>789</x:v>
      </x:c>
      <x:c r="E392" s="6" t="n">
        <x:v>789</x:v>
      </x:c>
      <x:c r="F392" s="6" t="n">
        <x:v>0</x:v>
      </x:c>
      <x:c r="G392" s="6" t="n">
        <x:v>11</x:v>
      </x:c>
      <x:c r="H392" s="6" t="n">
        <x:v>115</x:v>
      </x:c>
      <x:c r="I392" s="6" t="n">
        <x:v>14175</x:v>
      </x:c>
      <x:c r="J392" s="11" t="n">
        <x:f>E392/D392</x:f>
        <x:v>1</x:v>
      </x:c>
      <x:c r="K392" s="11" t="n">
        <x:f>F392/D392</x:f>
        <x:v>0</x:v>
      </x:c>
      <x:c r="L392" s="13" t="n">
        <x:f>I392/D392</x:f>
        <x:v>17.96577946768061</x:v>
      </x:c>
      <x:c r="M392" s="6" t="str">
        <x:v>Included</x:v>
      </x:c>
    </x:row>
    <x:row r="393" ht="23" customHeight="1">
      <x:c r="B393" s="12" t="str">
        <x:v>7478</x:v>
      </x:c>
      <x:c r="C393" s="6" t="str">
        <x:v>Ellis Ave / The Queensway</x:v>
      </x:c>
      <x:c r="D393" s="6" t="n">
        <x:v>781</x:v>
      </x:c>
      <x:c r="E393" s="6" t="n">
        <x:v>365</x:v>
      </x:c>
      <x:c r="F393" s="6" t="n">
        <x:v>416</x:v>
      </x:c>
      <x:c r="G393" s="6" t="n">
        <x:v>11</x:v>
      </x:c>
      <x:c r="H393" s="6" t="n">
        <x:v>114</x:v>
      </x:c>
      <x:c r="I393" s="6" t="n">
        <x:v>1168</x:v>
      </x:c>
      <x:c r="J393" s="11" t="n">
        <x:f>E393/D393</x:f>
        <x:v>0.4673495518565941</x:v>
      </x:c>
      <x:c r="K393" s="11" t="n">
        <x:f>F393/D393</x:f>
        <x:v>0.5326504481434059</x:v>
      </x:c>
      <x:c r="L393" s="13" t="n">
        <x:f>I393/D393</x:f>
        <x:v>1.4955185659411012</x:v>
      </x:c>
      <x:c r="M393" s="6" t="str">
        <x:v>Included</x:v>
      </x:c>
    </x:row>
    <x:row r="394" ht="23" customHeight="1">
      <x:c r="B394" s="12" t="str">
        <x:v>7479</x:v>
      </x:c>
      <x:c r="C394" s="6" t="str">
        <x:v>Jane St / Bloor St W (Jane Subway Station)</x:v>
      </x:c>
      <x:c r="D394" s="6" t="n">
        <x:v>782</x:v>
      </x:c>
      <x:c r="E394" s="6" t="n">
        <x:v>782</x:v>
      </x:c>
      <x:c r="F394" s="6" t="n">
        <x:v>0</x:v>
      </x:c>
      <x:c r="G394" s="6" t="n">
        <x:v>11</x:v>
      </x:c>
      <x:c r="H394" s="6" t="n">
        <x:v>114</x:v>
      </x:c>
      <x:c r="I394" s="6" t="n">
        <x:v>7922</x:v>
      </x:c>
      <x:c r="J394" s="11" t="n">
        <x:f>E394/D394</x:f>
        <x:v>1</x:v>
      </x:c>
      <x:c r="K394" s="11" t="n">
        <x:f>F394/D394</x:f>
        <x:v>0</x:v>
      </x:c>
      <x:c r="L394" s="13" t="n">
        <x:f>I394/D394</x:f>
        <x:v>10.130434782608695</x:v>
      </x:c>
      <x:c r="M394" s="6" t="str">
        <x:v>Included</x:v>
      </x:c>
    </x:row>
    <x:row r="395" ht="23" customHeight="1">
      <x:c r="B395" s="12" t="str">
        <x:v>7480</x:v>
      </x:c>
      <x:c r="C395" s="6" t="str">
        <x:v>Neil McLellan Park</x:v>
      </x:c>
      <x:c r="D395" s="6" t="n">
        <x:v>789</x:v>
      </x:c>
      <x:c r="E395" s="6" t="n">
        <x:v>783</x:v>
      </x:c>
      <x:c r="F395" s="6" t="n">
        <x:v>6</x:v>
      </x:c>
      <x:c r="G395" s="6" t="n">
        <x:v>11</x:v>
      </x:c>
      <x:c r="H395" s="6" t="n">
        <x:v>115</x:v>
      </x:c>
      <x:c r="I395" s="6" t="n">
        <x:v>7193</x:v>
      </x:c>
      <x:c r="J395" s="11" t="n">
        <x:f>E395/D395</x:f>
        <x:v>0.9923954372623575</x:v>
      </x:c>
      <x:c r="K395" s="11" t="n">
        <x:f>F395/D395</x:f>
        <x:v>0.0076045627376425855</x:v>
      </x:c>
      <x:c r="L395" s="13" t="n">
        <x:f>I395/D395</x:f>
        <x:v>9.11660329531052</x:v>
      </x:c>
      <x:c r="M395" s="6" t="str">
        <x:v>Included</x:v>
      </x:c>
    </x:row>
    <x:row r="396" ht="23" customHeight="1">
      <x:c r="B396" s="12" t="str">
        <x:v>7483</x:v>
      </x:c>
      <x:c r="C396" s="6" t="str">
        <x:v>Southwood Dr / Kingston Rd - SMART</x:v>
      </x:c>
      <x:c r="D396" s="6" t="n">
        <x:v>793</x:v>
      </x:c>
      <x:c r="E396" s="6" t="n">
        <x:v>793</x:v>
      </x:c>
      <x:c r="F396" s="6" t="n">
        <x:v>0</x:v>
      </x:c>
      <x:c r="G396" s="6" t="n">
        <x:v>11</x:v>
      </x:c>
      <x:c r="H396" s="6" t="n">
        <x:v>115</x:v>
      </x:c>
      <x:c r="I396" s="6" t="n">
        <x:v>7397</x:v>
      </x:c>
      <x:c r="J396" s="11" t="n">
        <x:f>E396/D396</x:f>
        <x:v>1</x:v>
      </x:c>
      <x:c r="K396" s="11" t="n">
        <x:f>F396/D396</x:f>
        <x:v>0</x:v>
      </x:c>
      <x:c r="L396" s="13" t="n">
        <x:f>I396/D396</x:f>
        <x:v>9.327868852459016</x:v>
      </x:c>
      <x:c r="M396" s="6" t="str">
        <x:v>Included</x:v>
      </x:c>
    </x:row>
    <x:row r="397" ht="23" customHeight="1">
      <x:c r="B397" s="12" t="str">
        <x:v>7484</x:v>
      </x:c>
      <x:c r="C397" s="6" t="str">
        <x:v>Briar Hill Ave / Yonge St - SMART</x:v>
      </x:c>
      <x:c r="D397" s="6" t="n">
        <x:v>793</x:v>
      </x:c>
      <x:c r="E397" s="6" t="n">
        <x:v>793</x:v>
      </x:c>
      <x:c r="F397" s="6" t="n">
        <x:v>0</x:v>
      </x:c>
      <x:c r="G397" s="6" t="n">
        <x:v>11</x:v>
      </x:c>
      <x:c r="H397" s="6" t="n">
        <x:v>115</x:v>
      </x:c>
      <x:c r="I397" s="6" t="n">
        <x:v>8620</x:v>
      </x:c>
      <x:c r="J397" s="11" t="n">
        <x:f>E397/D397</x:f>
        <x:v>1</x:v>
      </x:c>
      <x:c r="K397" s="11" t="n">
        <x:f>F397/D397</x:f>
        <x:v>0</x:v>
      </x:c>
      <x:c r="L397" s="13" t="n">
        <x:f>I397/D397</x:f>
        <x:v>10.870113493064313</x:v>
      </x:c>
      <x:c r="M397" s="6" t="str">
        <x:v>Included</x:v>
      </x:c>
    </x:row>
    <x:row r="398" ht="23" customHeight="1">
      <x:c r="B398" s="12" t="str">
        <x:v>7485</x:v>
      </x:c>
      <x:c r="C398" s="6" t="str">
        <x:v>Blythwood Rd / Yonge St - SMART</x:v>
      </x:c>
      <x:c r="D398" s="6" t="n">
        <x:v>787</x:v>
      </x:c>
      <x:c r="E398" s="6" t="n">
        <x:v>787</x:v>
      </x:c>
      <x:c r="F398" s="6" t="n">
        <x:v>0</x:v>
      </x:c>
      <x:c r="G398" s="6" t="n">
        <x:v>11</x:v>
      </x:c>
      <x:c r="H398" s="6" t="n">
        <x:v>115</x:v>
      </x:c>
      <x:c r="I398" s="6" t="n">
        <x:v>7944</x:v>
      </x:c>
      <x:c r="J398" s="11" t="n">
        <x:f>E398/D398</x:f>
        <x:v>1</x:v>
      </x:c>
      <x:c r="K398" s="11" t="n">
        <x:f>F398/D398</x:f>
        <x:v>0</x:v>
      </x:c>
      <x:c r="L398" s="13" t="n">
        <x:f>I398/D398</x:f>
        <x:v>10.09402795425667</x:v>
      </x:c>
      <x:c r="M398" s="6" t="str">
        <x:v>Included</x:v>
      </x:c>
    </x:row>
    <x:row r="399" ht="23" customHeight="1">
      <x:c r="B399" s="12" t="str">
        <x:v>7486</x:v>
      </x:c>
      <x:c r="C399" s="6" t="str">
        <x:v>Gerrard St E / Main St</x:v>
      </x:c>
      <x:c r="D399" s="6" t="n">
        <x:v>791</x:v>
      </x:c>
      <x:c r="E399" s="6" t="n">
        <x:v>791</x:v>
      </x:c>
      <x:c r="F399" s="6" t="n">
        <x:v>0</x:v>
      </x:c>
      <x:c r="G399" s="6" t="n">
        <x:v>11</x:v>
      </x:c>
      <x:c r="H399" s="6" t="n">
        <x:v>114</x:v>
      </x:c>
      <x:c r="I399" s="6" t="n">
        <x:v>15923</x:v>
      </x:c>
      <x:c r="J399" s="11" t="n">
        <x:f>E399/D399</x:f>
        <x:v>1</x:v>
      </x:c>
      <x:c r="K399" s="11" t="n">
        <x:f>F399/D399</x:f>
        <x:v>0</x:v>
      </x:c>
      <x:c r="L399" s="13" t="n">
        <x:f>I399/D399</x:f>
        <x:v>20.130214917825537</x:v>
      </x:c>
      <x:c r="M399" s="6" t="str">
        <x:v>Included</x:v>
      </x:c>
    </x:row>
    <x:row r="400" ht="23" customHeight="1">
      <x:c r="B400" s="12" t="str">
        <x:v>7487</x:v>
      </x:c>
      <x:c r="C400" s="6" t="str">
        <x:v>Eastwood Rd / Woodbine Ave - SMART</x:v>
      </x:c>
      <x:c r="D400" s="6" t="n">
        <x:v>783</x:v>
      </x:c>
      <x:c r="E400" s="6" t="n">
        <x:v>687</x:v>
      </x:c>
      <x:c r="F400" s="6" t="n">
        <x:v>96</x:v>
      </x:c>
      <x:c r="G400" s="6" t="n">
        <x:v>11</x:v>
      </x:c>
      <x:c r="H400" s="6" t="n">
        <x:v>114</x:v>
      </x:c>
      <x:c r="I400" s="6" t="n">
        <x:v>2349</x:v>
      </x:c>
      <x:c r="J400" s="11" t="n">
        <x:f>E400/D400</x:f>
        <x:v>0.8773946360153256</x:v>
      </x:c>
      <x:c r="K400" s="11" t="n">
        <x:f>F400/D400</x:f>
        <x:v>0.12260536398467432</x:v>
      </x:c>
      <x:c r="L400" s="13" t="n">
        <x:f>I400/D400</x:f>
        <x:v>3</x:v>
      </x:c>
      <x:c r="M400" s="6" t="str">
        <x:v>Included</x:v>
      </x:c>
    </x:row>
    <x:row r="401" ht="23" customHeight="1">
      <x:c r="B401" s="12" t="str">
        <x:v>7488</x:v>
      </x:c>
      <x:c r="C401" s="6" t="str">
        <x:v>Summerhill Ave / Maclennan Ave</x:v>
      </x:c>
      <x:c r="D401" s="6" t="n">
        <x:v>780</x:v>
      </x:c>
      <x:c r="E401" s="6" t="n">
        <x:v>780</x:v>
      </x:c>
      <x:c r="F401" s="6" t="n">
        <x:v>0</x:v>
      </x:c>
      <x:c r="G401" s="6" t="n">
        <x:v>11</x:v>
      </x:c>
      <x:c r="H401" s="6" t="n">
        <x:v>115</x:v>
      </x:c>
      <x:c r="I401" s="6" t="n">
        <x:v>6114</x:v>
      </x:c>
      <x:c r="J401" s="11" t="n">
        <x:f>E401/D401</x:f>
        <x:v>1</x:v>
      </x:c>
      <x:c r="K401" s="11" t="n">
        <x:f>F401/D401</x:f>
        <x:v>0</x:v>
      </x:c>
      <x:c r="L401" s="13" t="n">
        <x:f>I401/D401</x:f>
        <x:v>7.838461538461538</x:v>
      </x:c>
      <x:c r="M401" s="6" t="str">
        <x:v>Included</x:v>
      </x:c>
    </x:row>
    <x:row r="402" ht="23" customHeight="1">
      <x:c r="B402" s="12" t="str">
        <x:v>7489</x:v>
      </x:c>
      <x:c r="C402" s="6" t="str">
        <x:v>Sumach St  / Queen St E</x:v>
      </x:c>
      <x:c r="D402" s="6" t="n">
        <x:v>786</x:v>
      </x:c>
      <x:c r="E402" s="6" t="n">
        <x:v>601</x:v>
      </x:c>
      <x:c r="F402" s="6" t="n">
        <x:v>185</x:v>
      </x:c>
      <x:c r="G402" s="6" t="n">
        <x:v>11</x:v>
      </x:c>
      <x:c r="H402" s="6" t="n">
        <x:v>115</x:v>
      </x:c>
      <x:c r="I402" s="6" t="n">
        <x:v>6290</x:v>
      </x:c>
      <x:c r="J402" s="11" t="n">
        <x:f>E402/D402</x:f>
        <x:v>0.7646310432569975</x:v>
      </x:c>
      <x:c r="K402" s="11" t="n">
        <x:f>F402/D402</x:f>
        <x:v>0.23536895674300254</x:v>
      </x:c>
      <x:c r="L402" s="13" t="n">
        <x:f>I402/D402</x:f>
        <x:v>8.002544529262087</x:v>
      </x:c>
      <x:c r="M402" s="6" t="str">
        <x:v>Included</x:v>
      </x:c>
    </x:row>
    <x:row r="403" ht="23" customHeight="1">
      <x:c r="B403" s="12" t="str">
        <x:v>7492</x:v>
      </x:c>
      <x:c r="C403" s="6" t="str">
        <x:v>Cherry St / Lake Shore Blvd E</x:v>
      </x:c>
      <x:c r="D403" s="6" t="n">
        <x:v>787</x:v>
      </x:c>
      <x:c r="E403" s="6" t="n">
        <x:v>708</x:v>
      </x:c>
      <x:c r="F403" s="6" t="n">
        <x:v>79</x:v>
      </x:c>
      <x:c r="G403" s="6" t="n">
        <x:v>11</x:v>
      </x:c>
      <x:c r="H403" s="6" t="n">
        <x:v>115</x:v>
      </x:c>
      <x:c r="I403" s="6" t="n">
        <x:v>6002</x:v>
      </x:c>
      <x:c r="J403" s="11" t="n">
        <x:f>E403/D403</x:f>
        <x:v>0.8996188055908514</x:v>
      </x:c>
      <x:c r="K403" s="11" t="n">
        <x:f>F403/D403</x:f>
        <x:v>0.10038119440914867</x:v>
      </x:c>
      <x:c r="L403" s="13" t="n">
        <x:f>I403/D403</x:f>
        <x:v>7.626429479034307</x:v>
      </x:c>
      <x:c r="M403" s="6" t="str">
        <x:v>Included</x:v>
      </x:c>
    </x:row>
    <x:row r="404" ht="23" customHeight="1">
      <x:c r="B404" s="12" t="str">
        <x:v>7493</x:v>
      </x:c>
      <x:c r="C404" s="6" t="str">
        <x:v>Sackville St / Eastern Ave - SMART</x:v>
      </x:c>
      <x:c r="D404" s="6" t="n">
        <x:v>786</x:v>
      </x:c>
      <x:c r="E404" s="6" t="n">
        <x:v>596</x:v>
      </x:c>
      <x:c r="F404" s="6" t="n">
        <x:v>190</x:v>
      </x:c>
      <x:c r="G404" s="6" t="n">
        <x:v>11</x:v>
      </x:c>
      <x:c r="H404" s="6" t="n">
        <x:v>115</x:v>
      </x:c>
      <x:c r="I404" s="6" t="n">
        <x:v>2684</x:v>
      </x:c>
      <x:c r="J404" s="11" t="n">
        <x:f>E404/D404</x:f>
        <x:v>0.7582697201017812</x:v>
      </x:c>
      <x:c r="K404" s="11" t="n">
        <x:f>F404/D404</x:f>
        <x:v>0.24173027989821882</x:v>
      </x:c>
      <x:c r="L404" s="13" t="n">
        <x:f>I404/D404</x:f>
        <x:v>3.4147582697201018</x:v>
      </x:c>
      <x:c r="M404" s="6" t="str">
        <x:v>Included</x:v>
      </x:c>
    </x:row>
    <x:row r="405" ht="23" customHeight="1">
      <x:c r="B405" s="12" t="str">
        <x:v>7494</x:v>
      </x:c>
      <x:c r="C405" s="6" t="str">
        <x:v>Davenport Rd / McAlpine St - SMART</x:v>
      </x:c>
      <x:c r="D405" s="6" t="n">
        <x:v>790</x:v>
      </x:c>
      <x:c r="E405" s="6" t="n">
        <x:v>790</x:v>
      </x:c>
      <x:c r="F405" s="6" t="n">
        <x:v>0</x:v>
      </x:c>
      <x:c r="G405" s="6" t="n">
        <x:v>11</x:v>
      </x:c>
      <x:c r="H405" s="6" t="n">
        <x:v>114</x:v>
      </x:c>
      <x:c r="I405" s="6" t="n">
        <x:v>7272</x:v>
      </x:c>
      <x:c r="J405" s="11" t="n">
        <x:f>E405/D405</x:f>
        <x:v>1</x:v>
      </x:c>
      <x:c r="K405" s="11" t="n">
        <x:f>F405/D405</x:f>
        <x:v>0</x:v>
      </x:c>
      <x:c r="L405" s="13" t="n">
        <x:f>I405/D405</x:f>
        <x:v>9.20506329113924</x:v>
      </x:c>
      <x:c r="M405" s="6" t="str">
        <x:v>Included</x:v>
      </x:c>
    </x:row>
    <x:row r="406" ht="23" customHeight="1">
      <x:c r="B406" s="12" t="str">
        <x:v>7496</x:v>
      </x:c>
      <x:c r="C406" s="6" t="str">
        <x:v>Sunnyside Ave / The Queensway - SMART</x:v>
      </x:c>
      <x:c r="D406" s="6" t="n">
        <x:v>802</x:v>
      </x:c>
      <x:c r="E406" s="6" t="n">
        <x:v>730</x:v>
      </x:c>
      <x:c r="F406" s="6" t="n">
        <x:v>72</x:v>
      </x:c>
      <x:c r="G406" s="6" t="n">
        <x:v>11</x:v>
      </x:c>
      <x:c r="H406" s="6" t="n">
        <x:v>114</x:v>
      </x:c>
      <x:c r="I406" s="6" t="n">
        <x:v>5868</x:v>
      </x:c>
      <x:c r="J406" s="11" t="n">
        <x:f>E406/D406</x:f>
        <x:v>0.9102244389027432</x:v>
      </x:c>
      <x:c r="K406" s="11" t="n">
        <x:f>F406/D406</x:f>
        <x:v>0.08977556109725686</x:v>
      </x:c>
      <x:c r="L406" s="13" t="n">
        <x:f>I406/D406</x:f>
        <x:v>7.316708229426434</x:v>
      </x:c>
      <x:c r="M406" s="6" t="str">
        <x:v>Included</x:v>
      </x:c>
    </x:row>
    <x:row r="407" ht="23" customHeight="1">
      <x:c r="B407" s="12" t="str">
        <x:v>7497</x:v>
      </x:c>
      <x:c r="C407" s="6" t="str">
        <x:v>128 Sterling Rd - SMART</x:v>
      </x:c>
      <x:c r="D407" s="6" t="n">
        <x:v>786</x:v>
      </x:c>
      <x:c r="E407" s="6" t="n">
        <x:v>786</x:v>
      </x:c>
      <x:c r="F407" s="6" t="n">
        <x:v>0</x:v>
      </x:c>
      <x:c r="G407" s="6" t="n">
        <x:v>11</x:v>
      </x:c>
      <x:c r="H407" s="6" t="n">
        <x:v>115</x:v>
      </x:c>
      <x:c r="I407" s="6" t="n">
        <x:v>11866</x:v>
      </x:c>
      <x:c r="J407" s="11" t="n">
        <x:f>E407/D407</x:f>
        <x:v>1</x:v>
      </x:c>
      <x:c r="K407" s="11" t="n">
        <x:f>F407/D407</x:f>
        <x:v>0</x:v>
      </x:c>
      <x:c r="L407" s="13" t="n">
        <x:f>I407/D407</x:f>
        <x:v>15.096692111959287</x:v>
      </x:c>
      <x:c r="M407" s="6" t="str">
        <x:v>Included</x:v>
      </x:c>
    </x:row>
    <x:row r="408" ht="23" customHeight="1">
      <x:c r="B408" s="12" t="str">
        <x:v>7501</x:v>
      </x:c>
      <x:c r="C408" s="6" t="str">
        <x:v>Humberside Grounds - SMART</x:v>
      </x:c>
      <x:c r="D408" s="6" t="n">
        <x:v>788</x:v>
      </x:c>
      <x:c r="E408" s="6" t="n">
        <x:v>788</x:v>
      </x:c>
      <x:c r="F408" s="6" t="n">
        <x:v>0</x:v>
      </x:c>
      <x:c r="G408" s="6" t="n">
        <x:v>11</x:v>
      </x:c>
      <x:c r="H408" s="6" t="n">
        <x:v>115</x:v>
      </x:c>
      <x:c r="I408" s="6" t="n">
        <x:v>11463</x:v>
      </x:c>
      <x:c r="J408" s="11" t="n">
        <x:f>E408/D408</x:f>
        <x:v>1</x:v>
      </x:c>
      <x:c r="K408" s="11" t="n">
        <x:f>F408/D408</x:f>
        <x:v>0</x:v>
      </x:c>
      <x:c r="L408" s="13" t="n">
        <x:f>I408/D408</x:f>
        <x:v>14.546954314720812</x:v>
      </x:c>
      <x:c r="M408" s="6" t="str">
        <x:v>Included</x:v>
      </x:c>
    </x:row>
    <x:row r="409" ht="23" customHeight="1">
      <x:c r="B409" s="12" t="str">
        <x:v>7502</x:v>
      </x:c>
      <x:c r="C409" s="6" t="str">
        <x:v>University Ave / College St (East)</x:v>
      </x:c>
      <x:c r="D409" s="6" t="n">
        <x:v>784</x:v>
      </x:c>
      <x:c r="E409" s="6" t="n">
        <x:v>759</x:v>
      </x:c>
      <x:c r="F409" s="6" t="n">
        <x:v>25</x:v>
      </x:c>
      <x:c r="G409" s="6" t="n">
        <x:v>11</x:v>
      </x:c>
      <x:c r="H409" s="6" t="n">
        <x:v>114</x:v>
      </x:c>
      <x:c r="I409" s="6" t="n">
        <x:v>11852</x:v>
      </x:c>
      <x:c r="J409" s="11" t="n">
        <x:f>E409/D409</x:f>
        <x:v>0.9681122448979592</x:v>
      </x:c>
      <x:c r="K409" s="11" t="n">
        <x:f>F409/D409</x:f>
        <x:v>0.03188775510204082</x:v>
      </x:c>
      <x:c r="L409" s="13" t="n">
        <x:f>I409/D409</x:f>
        <x:v>15.11734693877551</x:v>
      </x:c>
      <x:c r="M409" s="6" t="str">
        <x:v>Included</x:v>
      </x:c>
    </x:row>
    <x:row r="410" ht="23" customHeight="1">
      <x:c r="B410" s="12" t="str">
        <x:v>7503</x:v>
      </x:c>
      <x:c r="C410" s="6" t="str">
        <x:v>Gerrard St E / Malvern Ave - SMART</x:v>
      </x:c>
      <x:c r="D410" s="6" t="n">
        <x:v>797</x:v>
      </x:c>
      <x:c r="E410" s="6" t="n">
        <x:v>797</x:v>
      </x:c>
      <x:c r="F410" s="6" t="n">
        <x:v>0</x:v>
      </x:c>
      <x:c r="G410" s="6" t="n">
        <x:v>11</x:v>
      </x:c>
      <x:c r="H410" s="6" t="n">
        <x:v>115</x:v>
      </x:c>
      <x:c r="I410" s="6" t="n">
        <x:v>14741</x:v>
      </x:c>
      <x:c r="J410" s="11" t="n">
        <x:f>E410/D410</x:f>
        <x:v>1</x:v>
      </x:c>
      <x:c r="K410" s="11" t="n">
        <x:f>F410/D410</x:f>
        <x:v>0</x:v>
      </x:c>
      <x:c r="L410" s="13" t="n">
        <x:f>I410/D410</x:f>
        <x:v>18.495608531994982</x:v>
      </x:c>
      <x:c r="M410" s="6" t="str">
        <x:v>Included</x:v>
      </x:c>
    </x:row>
    <x:row r="411" ht="23" customHeight="1">
      <x:c r="B411" s="12" t="str">
        <x:v>7504</x:v>
      </x:c>
      <x:c r="C411" s="6" t="str">
        <x:v>Gerrard St E / Victoria Park Ave - SMART</x:v>
      </x:c>
      <x:c r="D411" s="6" t="n">
        <x:v>786</x:v>
      </x:c>
      <x:c r="E411" s="6" t="n">
        <x:v>786</x:v>
      </x:c>
      <x:c r="F411" s="6" t="n">
        <x:v>0</x:v>
      </x:c>
      <x:c r="G411" s="6" t="n">
        <x:v>11</x:v>
      </x:c>
      <x:c r="H411" s="6" t="n">
        <x:v>114</x:v>
      </x:c>
      <x:c r="I411" s="6" t="n">
        <x:v>11356</x:v>
      </x:c>
      <x:c r="J411" s="11" t="n">
        <x:f>E411/D411</x:f>
        <x:v>1</x:v>
      </x:c>
      <x:c r="K411" s="11" t="n">
        <x:f>F411/D411</x:f>
        <x:v>0</x:v>
      </x:c>
      <x:c r="L411" s="13" t="n">
        <x:f>I411/D411</x:f>
        <x:v>14.447837150127226</x:v>
      </x:c>
      <x:c r="M411" s="6" t="str">
        <x:v>Included</x:v>
      </x:c>
    </x:row>
    <x:row r="412" ht="23" customHeight="1">
      <x:c r="B412" s="12" t="str">
        <x:v>7505</x:v>
      </x:c>
      <x:c r="C412" s="6" t="str">
        <x:v>Ontario St / Adelaide St E -SMART</x:v>
      </x:c>
      <x:c r="D412" s="6" t="n">
        <x:v>784</x:v>
      </x:c>
      <x:c r="E412" s="6" t="n">
        <x:v>696</x:v>
      </x:c>
      <x:c r="F412" s="6" t="n">
        <x:v>88</x:v>
      </x:c>
      <x:c r="G412" s="6" t="n">
        <x:v>11</x:v>
      </x:c>
      <x:c r="H412" s="6" t="n">
        <x:v>114</x:v>
      </x:c>
      <x:c r="I412" s="6" t="n">
        <x:v>8021</x:v>
      </x:c>
      <x:c r="J412" s="11" t="n">
        <x:f>E412/D412</x:f>
        <x:v>0.8877551020408163</x:v>
      </x:c>
      <x:c r="K412" s="11" t="n">
        <x:f>F412/D412</x:f>
        <x:v>0.11224489795918367</x:v>
      </x:c>
      <x:c r="L412" s="13" t="n">
        <x:f>I412/D412</x:f>
        <x:v>10.230867346938776</x:v>
      </x:c>
      <x:c r="M412" s="6" t="str">
        <x:v>Included</x:v>
      </x:c>
    </x:row>
    <x:row r="413" ht="23" customHeight="1">
      <x:c r="B413" s="12" t="str">
        <x:v>7506</x:v>
      </x:c>
      <x:c r="C413" s="6" t="str">
        <x:v>Berkeley St / Adelaide St E - SMART</x:v>
      </x:c>
      <x:c r="D413" s="6" t="n">
        <x:v>790</x:v>
      </x:c>
      <x:c r="E413" s="6" t="n">
        <x:v>636</x:v>
      </x:c>
      <x:c r="F413" s="6" t="n">
        <x:v>154</x:v>
      </x:c>
      <x:c r="G413" s="6" t="n">
        <x:v>11</x:v>
      </x:c>
      <x:c r="H413" s="6" t="n">
        <x:v>115</x:v>
      </x:c>
      <x:c r="I413" s="6" t="n">
        <x:v>2453</x:v>
      </x:c>
      <x:c r="J413" s="11" t="n">
        <x:f>E413/D413</x:f>
        <x:v>0.8050632911392405</x:v>
      </x:c>
      <x:c r="K413" s="11" t="n">
        <x:f>F413/D413</x:f>
        <x:v>0.1949367088607595</x:v>
      </x:c>
      <x:c r="L413" s="13" t="n">
        <x:f>I413/D413</x:f>
        <x:v>3.1050632911392406</x:v>
      </x:c>
      <x:c r="M413" s="6" t="str">
        <x:v>Included</x:v>
      </x:c>
    </x:row>
    <x:row r="414" ht="23" customHeight="1">
      <x:c r="B414" s="12" t="str">
        <x:v>7508</x:v>
      </x:c>
      <x:c r="C414" s="6" t="str">
        <x:v>Berkeley St / Dundas St E - SMART</x:v>
      </x:c>
      <x:c r="D414" s="6" t="n">
        <x:v>784</x:v>
      </x:c>
      <x:c r="E414" s="6" t="n">
        <x:v>700</x:v>
      </x:c>
      <x:c r="F414" s="6" t="n">
        <x:v>84</x:v>
      </x:c>
      <x:c r="G414" s="6" t="n">
        <x:v>11</x:v>
      </x:c>
      <x:c r="H414" s="6" t="n">
        <x:v>114</x:v>
      </x:c>
      <x:c r="I414" s="6" t="n">
        <x:v>8548</x:v>
      </x:c>
      <x:c r="J414" s="11" t="n">
        <x:f>E414/D414</x:f>
        <x:v>0.8928571428571429</x:v>
      </x:c>
      <x:c r="K414" s="11" t="n">
        <x:f>F414/D414</x:f>
        <x:v>0.10714285714285714</x:v>
      </x:c>
      <x:c r="L414" s="13" t="n">
        <x:f>I414/D414</x:f>
        <x:v>10.903061224489797</x:v>
      </x:c>
      <x:c r="M414" s="6" t="str">
        <x:v>Included</x:v>
      </x:c>
    </x:row>
    <x:row r="415" ht="23" customHeight="1">
      <x:c r="B415" s="12" t="str">
        <x:v>7514</x:v>
      </x:c>
      <x:c r="C415" s="6" t="str">
        <x:v>Humber Bay Shores Park / Marine Parade Dr</x:v>
      </x:c>
      <x:c r="D415" s="6" t="n">
        <x:v>784</x:v>
      </x:c>
      <x:c r="E415" s="6" t="n">
        <x:v>731</x:v>
      </x:c>
      <x:c r="F415" s="6" t="n">
        <x:v>53</x:v>
      </x:c>
      <x:c r="G415" s="6" t="n">
        <x:v>11</x:v>
      </x:c>
      <x:c r="H415" s="6" t="n">
        <x:v>114</x:v>
      </x:c>
      <x:c r="I415" s="6" t="n">
        <x:v>22178</x:v>
      </x:c>
      <x:c r="J415" s="11" t="n">
        <x:f>E415/D415</x:f>
        <x:v>0.9323979591836735</x:v>
      </x:c>
      <x:c r="K415" s="11" t="n">
        <x:f>F415/D415</x:f>
        <x:v>0.06760204081632654</x:v>
      </x:c>
      <x:c r="L415" s="13" t="n">
        <x:f>I415/D415</x:f>
        <x:v>28.288265306122447</x:v>
      </x:c>
      <x:c r="M415" s="6" t="str">
        <x:v>Included</x:v>
      </x:c>
    </x:row>
    <x:row r="416" ht="23" customHeight="1">
      <x:c r="B416" s="12" t="str">
        <x:v>7515</x:v>
      </x:c>
      <x:c r="C416" s="6" t="str">
        <x:v>Amos Waites Park</x:v>
      </x:c>
      <x:c r="D416" s="6" t="n">
        <x:v>785</x:v>
      </x:c>
      <x:c r="E416" s="6" t="n">
        <x:v>760</x:v>
      </x:c>
      <x:c r="F416" s="6" t="n">
        <x:v>25</x:v>
      </x:c>
      <x:c r="G416" s="6" t="n">
        <x:v>11</x:v>
      </x:c>
      <x:c r="H416" s="6" t="n">
        <x:v>114</x:v>
      </x:c>
      <x:c r="I416" s="6" t="n">
        <x:v>5444</x:v>
      </x:c>
      <x:c r="J416" s="11" t="n">
        <x:f>E416/D416</x:f>
        <x:v>0.9681528662420382</x:v>
      </x:c>
      <x:c r="K416" s="11" t="n">
        <x:f>F416/D416</x:f>
        <x:v>0.03184713375796178</x:v>
      </x:c>
      <x:c r="L416" s="13" t="n">
        <x:f>I416/D416</x:f>
        <x:v>6.935031847133758</x:v>
      </x:c>
      <x:c r="M416" s="6" t="str">
        <x:v>Included</x:v>
      </x:c>
    </x:row>
    <x:row r="417" ht="23" customHeight="1">
      <x:c r="B417" s="12" t="str">
        <x:v>7516</x:v>
      </x:c>
      <x:c r="C417" s="6" t="str">
        <x:v>Superior Ave / Lake Shore Blvd W</x:v>
      </x:c>
      <x:c r="D417" s="6" t="n">
        <x:v>800</x:v>
      </x:c>
      <x:c r="E417" s="6" t="n">
        <x:v>405</x:v>
      </x:c>
      <x:c r="F417" s="6" t="n">
        <x:v>395</x:v>
      </x:c>
      <x:c r="G417" s="6" t="n">
        <x:v>11</x:v>
      </x:c>
      <x:c r="H417" s="6" t="n">
        <x:v>114</x:v>
      </x:c>
      <x:c r="I417" s="6" t="n">
        <x:v>705</x:v>
      </x:c>
      <x:c r="J417" s="11" t="n">
        <x:f>E417/D417</x:f>
        <x:v>0.50625</x:v>
      </x:c>
      <x:c r="K417" s="11" t="n">
        <x:f>F417/D417</x:f>
        <x:v>0.49375</x:v>
      </x:c>
      <x:c r="L417" s="13" t="n">
        <x:f>I417/D417</x:f>
        <x:v>0.88125</x:v>
      </x:c>
      <x:c r="M417" s="6" t="str">
        <x:v>Included</x:v>
      </x:c>
    </x:row>
    <x:row r="418" ht="23" customHeight="1">
      <x:c r="B418" s="12" t="str">
        <x:v>7517</x:v>
      </x:c>
      <x:c r="C418" s="6" t="str">
        <x:v>Ripley Ave / Ormskirk Ave</x:v>
      </x:c>
      <x:c r="D418" s="6" t="n">
        <x:v>784</x:v>
      </x:c>
      <x:c r="E418" s="6" t="n">
        <x:v>695</x:v>
      </x:c>
      <x:c r="F418" s="6" t="n">
        <x:v>89</x:v>
      </x:c>
      <x:c r="G418" s="6" t="n">
        <x:v>11</x:v>
      </x:c>
      <x:c r="H418" s="6" t="n">
        <x:v>114</x:v>
      </x:c>
      <x:c r="I418" s="6" t="n">
        <x:v>5637</x:v>
      </x:c>
      <x:c r="J418" s="11" t="n">
        <x:f>E418/D418</x:f>
        <x:v>0.8864795918367347</x:v>
      </x:c>
      <x:c r="K418" s="11" t="n">
        <x:f>F418/D418</x:f>
        <x:v>0.11352040816326531</x:v>
      </x:c>
      <x:c r="L418" s="13" t="n">
        <x:f>I418/D418</x:f>
        <x:v>7.190051020408164</x:v>
      </x:c>
      <x:c r="M418" s="6" t="str">
        <x:v>Included</x:v>
      </x:c>
    </x:row>
    <x:row r="419" ht="23" customHeight="1">
      <x:c r="B419" s="12" t="str">
        <x:v>7518</x:v>
      </x:c>
      <x:c r="C419" s="6" t="str">
        <x:v>Lake Shore Blvd W / Colborne Lodge Dr</x:v>
      </x:c>
      <x:c r="D419" s="6" t="n">
        <x:v>787</x:v>
      </x:c>
      <x:c r="E419" s="6" t="n">
        <x:v>686</x:v>
      </x:c>
      <x:c r="F419" s="6" t="n">
        <x:v>101</x:v>
      </x:c>
      <x:c r="G419" s="6" t="n">
        <x:v>11</x:v>
      </x:c>
      <x:c r="H419" s="6" t="n">
        <x:v>116</x:v>
      </x:c>
      <x:c r="I419" s="6" t="n">
        <x:v>7225</x:v>
      </x:c>
      <x:c r="J419" s="11" t="n">
        <x:f>E419/D419</x:f>
        <x:v>0.8716645489199492</x:v>
      </x:c>
      <x:c r="K419" s="11" t="n">
        <x:f>F419/D419</x:f>
        <x:v>0.12833545108005082</x:v>
      </x:c>
      <x:c r="L419" s="13" t="n">
        <x:f>I419/D419</x:f>
        <x:v>9.180432020330368</x:v>
      </x:c>
      <x:c r="M419" s="6" t="str">
        <x:v>Included</x:v>
      </x:c>
    </x:row>
    <x:row r="420" ht="23" customHeight="1">
      <x:c r="B420" s="12" t="str">
        <x:v>7520</x:v>
      </x:c>
      <x:c r="C420" s="6" t="str">
        <x:v>St Clarens Ave / Shirley St</x:v>
      </x:c>
      <x:c r="D420" s="6" t="n">
        <x:v>785</x:v>
      </x:c>
      <x:c r="E420" s="6" t="n">
        <x:v>784</x:v>
      </x:c>
      <x:c r="F420" s="6" t="n">
        <x:v>1</x:v>
      </x:c>
      <x:c r="G420" s="6" t="n">
        <x:v>11</x:v>
      </x:c>
      <x:c r="H420" s="6" t="n">
        <x:v>114</x:v>
      </x:c>
      <x:c r="I420" s="6" t="n">
        <x:v>4763</x:v>
      </x:c>
      <x:c r="J420" s="11" t="n">
        <x:f>E420/D420</x:f>
        <x:v>0.9987261146496815</x:v>
      </x:c>
      <x:c r="K420" s="11" t="n">
        <x:f>F420/D420</x:f>
        <x:v>0.0012738853503184713</x:v>
      </x:c>
      <x:c r="L420" s="13" t="n">
        <x:f>I420/D420</x:f>
        <x:v>6.067515923566879</x:v>
      </x:c>
      <x:c r="M420" s="6" t="str">
        <x:v>Included</x:v>
      </x:c>
    </x:row>
    <x:row r="421" ht="23" customHeight="1">
      <x:c r="B421" s="12" t="str">
        <x:v>7521</x:v>
      </x:c>
      <x:c r="C421" s="6" t="str">
        <x:v>Emerson Ave / Bloor St W</x:v>
      </x:c>
      <x:c r="D421" s="6" t="n">
        <x:v>789</x:v>
      </x:c>
      <x:c r="E421" s="6" t="n">
        <x:v>789</x:v>
      </x:c>
      <x:c r="F421" s="6" t="n">
        <x:v>0</x:v>
      </x:c>
      <x:c r="G421" s="6" t="n">
        <x:v>11</x:v>
      </x:c>
      <x:c r="H421" s="6" t="n">
        <x:v>114</x:v>
      </x:c>
      <x:c r="I421" s="6" t="n">
        <x:v>15410</x:v>
      </x:c>
      <x:c r="J421" s="11" t="n">
        <x:f>E421/D421</x:f>
        <x:v>1</x:v>
      </x:c>
      <x:c r="K421" s="11" t="n">
        <x:f>F421/D421</x:f>
        <x:v>0</x:v>
      </x:c>
      <x:c r="L421" s="13" t="n">
        <x:f>I421/D421</x:f>
        <x:v>19.53105196451204</x:v>
      </x:c>
      <x:c r="M421" s="6" t="str">
        <x:v>Included</x:v>
      </x:c>
    </x:row>
    <x:row r="422" ht="23" customHeight="1">
      <x:c r="B422" s="12" t="str">
        <x:v>7522</x:v>
      </x:c>
      <x:c r="C422" s="6" t="str">
        <x:v>Wallace Ave / Pauline Ave</x:v>
      </x:c>
      <x:c r="D422" s="6" t="n">
        <x:v>780</x:v>
      </x:c>
      <x:c r="E422" s="6" t="n">
        <x:v>759</x:v>
      </x:c>
      <x:c r="F422" s="6" t="n">
        <x:v>21</x:v>
      </x:c>
      <x:c r="G422" s="6" t="n">
        <x:v>11</x:v>
      </x:c>
      <x:c r="H422" s="6" t="n">
        <x:v>115</x:v>
      </x:c>
      <x:c r="I422" s="6" t="n">
        <x:v>10681</x:v>
      </x:c>
      <x:c r="J422" s="11" t="n">
        <x:f>E422/D422</x:f>
        <x:v>0.9730769230769231</x:v>
      </x:c>
      <x:c r="K422" s="11" t="n">
        <x:f>F422/D422</x:f>
        <x:v>0.026923076923076925</x:v>
      </x:c>
      <x:c r="L422" s="13" t="n">
        <x:f>I422/D422</x:f>
        <x:v>13.693589743589744</x:v>
      </x:c>
      <x:c r="M422" s="6" t="str">
        <x:v>Included</x:v>
      </x:c>
    </x:row>
    <x:row r="423" ht="23" customHeight="1">
      <x:c r="B423" s="12" t="str">
        <x:v>7523</x:v>
      </x:c>
      <x:c r="C423" s="6" t="str">
        <x:v>Lynn Williams St / East Liberty St</x:v>
      </x:c>
      <x:c r="D423" s="6" t="n">
        <x:v>785</x:v>
      </x:c>
      <x:c r="E423" s="6" t="n">
        <x:v>607</x:v>
      </x:c>
      <x:c r="F423" s="6" t="n">
        <x:v>178</x:v>
      </x:c>
      <x:c r="G423" s="6" t="n">
        <x:v>11</x:v>
      </x:c>
      <x:c r="H423" s="6" t="n">
        <x:v>115</x:v>
      </x:c>
      <x:c r="I423" s="6" t="n">
        <x:v>4245</x:v>
      </x:c>
      <x:c r="J423" s="11" t="n">
        <x:f>E423/D423</x:f>
        <x:v>0.7732484076433122</x:v>
      </x:c>
      <x:c r="K423" s="11" t="n">
        <x:f>F423/D423</x:f>
        <x:v>0.2267515923566879</x:v>
      </x:c>
      <x:c r="L423" s="13" t="n">
        <x:f>I423/D423</x:f>
        <x:v>5.407643312101911</x:v>
      </x:c>
      <x:c r="M423" s="6" t="str">
        <x:v>Included</x:v>
      </x:c>
    </x:row>
    <x:row r="424" ht="23" customHeight="1">
      <x:c r="B424" s="12" t="str">
        <x:v>7524</x:v>
      </x:c>
      <x:c r="C424" s="6" t="str">
        <x:v>Lisgar Park</x:v>
      </x:c>
      <x:c r="D424" s="6" t="n">
        <x:v>785</x:v>
      </x:c>
      <x:c r="E424" s="6" t="n">
        <x:v>593</x:v>
      </x:c>
      <x:c r="F424" s="6" t="n">
        <x:v>192</x:v>
      </x:c>
      <x:c r="G424" s="6" t="n">
        <x:v>11</x:v>
      </x:c>
      <x:c r="H424" s="6" t="n">
        <x:v>114</x:v>
      </x:c>
      <x:c r="I424" s="6" t="n">
        <x:v>11874</x:v>
      </x:c>
      <x:c r="J424" s="11" t="n">
        <x:f>E424/D424</x:f>
        <x:v>0.7554140127388536</x:v>
      </x:c>
      <x:c r="K424" s="11" t="n">
        <x:f>F424/D424</x:f>
        <x:v>0.2445859872611465</x:v>
      </x:c>
      <x:c r="L424" s="13" t="n">
        <x:f>I424/D424</x:f>
        <x:v>15.12611464968153</x:v>
      </x:c>
      <x:c r="M424" s="6" t="str">
        <x:v>Included</x:v>
      </x:c>
    </x:row>
    <x:row r="425" ht="23" customHeight="1">
      <x:c r="B425" s="12" t="str">
        <x:v>7526</x:v>
      </x:c>
      <x:c r="C425" s="6" t="str">
        <x:v>Bartlett Parkette</x:v>
      </x:c>
      <x:c r="D425" s="6" t="n">
        <x:v>783</x:v>
      </x:c>
      <x:c r="E425" s="6" t="n">
        <x:v>781</x:v>
      </x:c>
      <x:c r="F425" s="6" t="n">
        <x:v>2</x:v>
      </x:c>
      <x:c r="G425" s="6" t="n">
        <x:v>11</x:v>
      </x:c>
      <x:c r="H425" s="6" t="n">
        <x:v>114</x:v>
      </x:c>
      <x:c r="I425" s="6" t="n">
        <x:v>13818</x:v>
      </x:c>
      <x:c r="J425" s="11" t="n">
        <x:f>E425/D425</x:f>
        <x:v>0.9974457215836526</x:v>
      </x:c>
      <x:c r="K425" s="11" t="n">
        <x:f>F425/D425</x:f>
        <x:v>0.002554278416347382</x:v>
      </x:c>
      <x:c r="L425" s="13" t="n">
        <x:f>I425/D425</x:f>
        <x:v>17.64750957854406</x:v>
      </x:c>
      <x:c r="M425" s="6" t="str">
        <x:v>Included</x:v>
      </x:c>
    </x:row>
    <x:row r="426" ht="23" customHeight="1">
      <x:c r="B426" s="12" t="str">
        <x:v>7527</x:v>
      </x:c>
      <x:c r="C426" s="6" t="str">
        <x:v>Joseph J Piccininni Community Centre</x:v>
      </x:c>
      <x:c r="D426" s="6" t="n">
        <x:v>793</x:v>
      </x:c>
      <x:c r="E426" s="6" t="n">
        <x:v>793</x:v>
      </x:c>
      <x:c r="F426" s="6" t="n">
        <x:v>0</x:v>
      </x:c>
      <x:c r="G426" s="6" t="n">
        <x:v>11</x:v>
      </x:c>
      <x:c r="H426" s="6" t="n">
        <x:v>115</x:v>
      </x:c>
      <x:c r="I426" s="6" t="n">
        <x:v>11327</x:v>
      </x:c>
      <x:c r="J426" s="11" t="n">
        <x:f>E426/D426</x:f>
        <x:v>1</x:v>
      </x:c>
      <x:c r="K426" s="11" t="n">
        <x:f>F426/D426</x:f>
        <x:v>0</x:v>
      </x:c>
      <x:c r="L426" s="13" t="n">
        <x:f>I426/D426</x:f>
        <x:v>14.28373266078184</x:v>
      </x:c>
      <x:c r="M426" s="6" t="str">
        <x:v>Included</x:v>
      </x:c>
    </x:row>
    <x:row r="427" ht="23" customHeight="1">
      <x:c r="B427" s="12" t="str">
        <x:v>7528</x:v>
      </x:c>
      <x:c r="C427" s="6" t="str">
        <x:v>Spadina Rd / Austin Terrace</x:v>
      </x:c>
      <x:c r="D427" s="6" t="n">
        <x:v>786</x:v>
      </x:c>
      <x:c r="E427" s="6" t="n">
        <x:v>786</x:v>
      </x:c>
      <x:c r="F427" s="6" t="n">
        <x:v>0</x:v>
      </x:c>
      <x:c r="G427" s="6" t="n">
        <x:v>11</x:v>
      </x:c>
      <x:c r="H427" s="6" t="n">
        <x:v>114</x:v>
      </x:c>
      <x:c r="I427" s="6" t="n">
        <x:v>11779</x:v>
      </x:c>
      <x:c r="J427" s="11" t="n">
        <x:f>E427/D427</x:f>
        <x:v>1</x:v>
      </x:c>
      <x:c r="K427" s="11" t="n">
        <x:f>F427/D427</x:f>
        <x:v>0</x:v>
      </x:c>
      <x:c r="L427" s="13" t="n">
        <x:f>I427/D427</x:f>
        <x:v>14.986005089058525</x:v>
      </x:c>
      <x:c r="M427" s="6" t="str">
        <x:v>Included</x:v>
      </x:c>
    </x:row>
    <x:row r="428" ht="23" customHeight="1">
      <x:c r="B428" s="12" t="str">
        <x:v>7529</x:v>
      </x:c>
      <x:c r="C428" s="6" t="str">
        <x:v>Symington Ave / Davenport Rd</x:v>
      </x:c>
      <x:c r="D428" s="6" t="n">
        <x:v>786</x:v>
      </x:c>
      <x:c r="E428" s="6" t="n">
        <x:v>786</x:v>
      </x:c>
      <x:c r="F428" s="6" t="n">
        <x:v>0</x:v>
      </x:c>
      <x:c r="G428" s="6" t="n">
        <x:v>11</x:v>
      </x:c>
      <x:c r="H428" s="6" t="n">
        <x:v>114</x:v>
      </x:c>
      <x:c r="I428" s="6" t="n">
        <x:v>10127</x:v>
      </x:c>
      <x:c r="J428" s="11" t="n">
        <x:f>E428/D428</x:f>
        <x:v>1</x:v>
      </x:c>
      <x:c r="K428" s="11" t="n">
        <x:f>F428/D428</x:f>
        <x:v>0</x:v>
      </x:c>
      <x:c r="L428" s="13" t="n">
        <x:f>I428/D428</x:f>
        <x:v>12.884223918575064</x:v>
      </x:c>
      <x:c r="M428" s="6" t="str">
        <x:v>Included</x:v>
      </x:c>
    </x:row>
    <x:row r="429" ht="23" customHeight="1">
      <x:c r="B429" s="12" t="str">
        <x:v>7530</x:v>
      </x:c>
      <x:c r="C429" s="6" t="str">
        <x:v>Sherbourne St N / Elm Ave</x:v>
      </x:c>
      <x:c r="D429" s="6" t="n">
        <x:v>778</x:v>
      </x:c>
      <x:c r="E429" s="6" t="n">
        <x:v>778</x:v>
      </x:c>
      <x:c r="F429" s="6" t="n">
        <x:v>0</x:v>
      </x:c>
      <x:c r="G429" s="6" t="n">
        <x:v>11</x:v>
      </x:c>
      <x:c r="H429" s="6" t="n">
        <x:v>110</x:v>
      </x:c>
      <x:c r="I429" s="6" t="n">
        <x:v>14551</x:v>
      </x:c>
      <x:c r="J429" s="11" t="n">
        <x:f>E429/D429</x:f>
        <x:v>1</x:v>
      </x:c>
      <x:c r="K429" s="11" t="n">
        <x:f>F429/D429</x:f>
        <x:v>0</x:v>
      </x:c>
      <x:c r="L429" s="13" t="n">
        <x:f>I429/D429</x:f>
        <x:v>18.703084832904885</x:v>
      </x:c>
      <x:c r="M429" s="6" t="str">
        <x:v>Included</x:v>
      </x:c>
    </x:row>
    <x:row r="430" ht="23" customHeight="1">
      <x:c r="B430" s="12" t="str">
        <x:v>7531</x:v>
      </x:c>
      <x:c r="C430" s="6" t="str">
        <x:v>541 Huron St - SMART</x:v>
      </x:c>
      <x:c r="D430" s="6" t="n">
        <x:v>784</x:v>
      </x:c>
      <x:c r="E430" s="6" t="n">
        <x:v>784</x:v>
      </x:c>
      <x:c r="F430" s="6" t="n">
        <x:v>0</x:v>
      </x:c>
      <x:c r="G430" s="6" t="n">
        <x:v>11</x:v>
      </x:c>
      <x:c r="H430" s="6" t="n">
        <x:v>116</x:v>
      </x:c>
      <x:c r="I430" s="6" t="n">
        <x:v>12739</x:v>
      </x:c>
      <x:c r="J430" s="11" t="n">
        <x:f>E430/D430</x:f>
        <x:v>1</x:v>
      </x:c>
      <x:c r="K430" s="11" t="n">
        <x:f>F430/D430</x:f>
        <x:v>0</x:v>
      </x:c>
      <x:c r="L430" s="13" t="n">
        <x:f>I430/D430</x:f>
        <x:v>16.24872448979592</x:v>
      </x:c>
      <x:c r="M430" s="6" t="str">
        <x:v>Included</x:v>
      </x:c>
    </x:row>
    <x:row r="431" ht="23" customHeight="1">
      <x:c r="B431" s="12" t="str">
        <x:v>7533</x:v>
      </x:c>
      <x:c r="C431" s="6" t="str">
        <x:v>Housey St / Dan Leckie Way</x:v>
      </x:c>
      <x:c r="D431" s="6" t="n">
        <x:v>783</x:v>
      </x:c>
      <x:c r="E431" s="6" t="n">
        <x:v>619</x:v>
      </x:c>
      <x:c r="F431" s="6" t="n">
        <x:v>164</x:v>
      </x:c>
      <x:c r="G431" s="6" t="n">
        <x:v>11</x:v>
      </x:c>
      <x:c r="H431" s="6" t="n">
        <x:v>115</x:v>
      </x:c>
      <x:c r="I431" s="6" t="n">
        <x:v>8380</x:v>
      </x:c>
      <x:c r="J431" s="11" t="n">
        <x:f>E431/D431</x:f>
        <x:v>0.7905491698595147</x:v>
      </x:c>
      <x:c r="K431" s="11" t="n">
        <x:f>F431/D431</x:f>
        <x:v>0.20945083014048532</x:v>
      </x:c>
      <x:c r="L431" s="13" t="n">
        <x:f>I431/D431</x:f>
        <x:v>10.70242656449553</x:v>
      </x:c>
      <x:c r="M431" s="6" t="str">
        <x:v>Included</x:v>
      </x:c>
    </x:row>
    <x:row r="432" ht="23" customHeight="1">
      <x:c r="B432" s="12" t="str">
        <x:v>7534</x:v>
      </x:c>
      <x:c r="C432" s="6" t="str">
        <x:v>Walnut Ave / Queen St W</x:v>
      </x:c>
      <x:c r="D432" s="6" t="n">
        <x:v>785</x:v>
      </x:c>
      <x:c r="E432" s="6" t="n">
        <x:v>647</x:v>
      </x:c>
      <x:c r="F432" s="6" t="n">
        <x:v>138</x:v>
      </x:c>
      <x:c r="G432" s="6" t="n">
        <x:v>11</x:v>
      </x:c>
      <x:c r="H432" s="6" t="n">
        <x:v>114</x:v>
      </x:c>
      <x:c r="I432" s="6" t="n">
        <x:v>2968</x:v>
      </x:c>
      <x:c r="J432" s="11" t="n">
        <x:f>E432/D432</x:f>
        <x:v>0.824203821656051</x:v>
      </x:c>
      <x:c r="K432" s="11" t="n">
        <x:f>F432/D432</x:f>
        <x:v>0.17579617834394903</x:v>
      </x:c>
      <x:c r="L432" s="13" t="n">
        <x:f>I432/D432</x:f>
        <x:v>3.780891719745223</x:v>
      </x:c>
      <x:c r="M432" s="6" t="str">
        <x:v>Included</x:v>
      </x:c>
    </x:row>
    <x:row r="433" ht="23" customHeight="1">
      <x:c r="B433" s="12" t="str">
        <x:v>7536</x:v>
      </x:c>
      <x:c r="C433" s="6" t="str">
        <x:v>Palmerston Ave / Dundas St W</x:v>
      </x:c>
      <x:c r="D433" s="6" t="n">
        <x:v>783</x:v>
      </x:c>
      <x:c r="E433" s="6" t="n">
        <x:v>746</x:v>
      </x:c>
      <x:c r="F433" s="6" t="n">
        <x:v>37</x:v>
      </x:c>
      <x:c r="G433" s="6" t="n">
        <x:v>11</x:v>
      </x:c>
      <x:c r="H433" s="6" t="n">
        <x:v>115</x:v>
      </x:c>
      <x:c r="I433" s="6" t="n">
        <x:v>9423</x:v>
      </x:c>
      <x:c r="J433" s="11" t="n">
        <x:f>E433/D433</x:f>
        <x:v>0.9527458492975734</x:v>
      </x:c>
      <x:c r="K433" s="11" t="n">
        <x:f>F433/D433</x:f>
        <x:v>0.04725415070242656</x:v>
      </x:c>
      <x:c r="L433" s="13" t="n">
        <x:f>I433/D433</x:f>
        <x:v>12.03448275862069</x:v>
      </x:c>
      <x:c r="M433" s="6" t="str">
        <x:v>Included</x:v>
      </x:c>
    </x:row>
    <x:row r="434" ht="23" customHeight="1">
      <x:c r="B434" s="12" t="str">
        <x:v>7537</x:v>
      </x:c>
      <x:c r="C434" s="6" t="str">
        <x:v>Euclid Ave / Herrick St - SMART</x:v>
      </x:c>
      <x:c r="D434" s="6" t="n">
        <x:v>790</x:v>
      </x:c>
      <x:c r="E434" s="6" t="n">
        <x:v>790</x:v>
      </x:c>
      <x:c r="F434" s="6" t="n">
        <x:v>0</x:v>
      </x:c>
      <x:c r="G434" s="6" t="n">
        <x:v>11</x:v>
      </x:c>
      <x:c r="H434" s="6" t="n">
        <x:v>114</x:v>
      </x:c>
      <x:c r="I434" s="6" t="n">
        <x:v>10458</x:v>
      </x:c>
      <x:c r="J434" s="11" t="n">
        <x:f>E434/D434</x:f>
        <x:v>1</x:v>
      </x:c>
      <x:c r="K434" s="11" t="n">
        <x:f>F434/D434</x:f>
        <x:v>0</x:v>
      </x:c>
      <x:c r="L434" s="13" t="n">
        <x:f>I434/D434</x:f>
        <x:v>13.237974683544303</x:v>
      </x:c>
      <x:c r="M434" s="6" t="str">
        <x:v>Included</x:v>
      </x:c>
    </x:row>
    <x:row r="435" ht="23" customHeight="1">
      <x:c r="B435" s="12" t="str">
        <x:v>7538</x:v>
      </x:c>
      <x:c r="C435" s="6" t="str">
        <x:v>Vaughan Rd /Wychwood Ave</x:v>
      </x:c>
      <x:c r="D435" s="6" t="n">
        <x:v>784</x:v>
      </x:c>
      <x:c r="E435" s="6" t="n">
        <x:v>784</x:v>
      </x:c>
      <x:c r="F435" s="6" t="n">
        <x:v>0</x:v>
      </x:c>
      <x:c r="G435" s="6" t="n">
        <x:v>11</x:v>
      </x:c>
      <x:c r="H435" s="6" t="n">
        <x:v>115</x:v>
      </x:c>
      <x:c r="I435" s="6" t="n">
        <x:v>13962</x:v>
      </x:c>
      <x:c r="J435" s="11" t="n">
        <x:f>E435/D435</x:f>
        <x:v>1</x:v>
      </x:c>
      <x:c r="K435" s="11" t="n">
        <x:f>F435/D435</x:f>
        <x:v>0</x:v>
      </x:c>
      <x:c r="L435" s="13" t="n">
        <x:f>I435/D435</x:f>
        <x:v>17.808673469387756</x:v>
      </x:c>
      <x:c r="M435" s="6" t="str">
        <x:v>Included</x:v>
      </x:c>
    </x:row>
    <x:row r="436" ht="23" customHeight="1">
      <x:c r="B436" s="12" t="str">
        <x:v>7539</x:v>
      </x:c>
      <x:c r="C436" s="6" t="str">
        <x:v>Davisville Ave / Pailton Cres</x:v>
      </x:c>
      <x:c r="D436" s="6" t="n">
        <x:v>782</x:v>
      </x:c>
      <x:c r="E436" s="6" t="n">
        <x:v>782</x:v>
      </x:c>
      <x:c r="F436" s="6" t="n">
        <x:v>0</x:v>
      </x:c>
      <x:c r="G436" s="6" t="n">
        <x:v>11</x:v>
      </x:c>
      <x:c r="H436" s="6" t="n">
        <x:v>114</x:v>
      </x:c>
      <x:c r="I436" s="6" t="n">
        <x:v>10069</x:v>
      </x:c>
      <x:c r="J436" s="11" t="n">
        <x:f>E436/D436</x:f>
        <x:v>1</x:v>
      </x:c>
      <x:c r="K436" s="11" t="n">
        <x:f>F436/D436</x:f>
        <x:v>0</x:v>
      </x:c>
      <x:c r="L436" s="13" t="n">
        <x:f>I436/D436</x:f>
        <x:v>12.875959079283888</x:v>
      </x:c>
      <x:c r="M436" s="6" t="str">
        <x:v>Included</x:v>
      </x:c>
    </x:row>
    <x:row r="437" ht="23" customHeight="1">
      <x:c r="B437" s="12" t="str">
        <x:v>7540</x:v>
      </x:c>
      <x:c r="C437" s="6" t="str">
        <x:v>Alvin Ave / St. Clair Ave E</x:v>
      </x:c>
      <x:c r="D437" s="6" t="n">
        <x:v>787</x:v>
      </x:c>
      <x:c r="E437" s="6" t="n">
        <x:v>787</x:v>
      </x:c>
      <x:c r="F437" s="6" t="n">
        <x:v>0</x:v>
      </x:c>
      <x:c r="G437" s="6" t="n">
        <x:v>11</x:v>
      </x:c>
      <x:c r="H437" s="6" t="n">
        <x:v>114</x:v>
      </x:c>
      <x:c r="I437" s="6" t="n">
        <x:v>12837</x:v>
      </x:c>
      <x:c r="J437" s="11" t="n">
        <x:f>E437/D437</x:f>
        <x:v>1</x:v>
      </x:c>
      <x:c r="K437" s="11" t="n">
        <x:f>F437/D437</x:f>
        <x:v>0</x:v>
      </x:c>
      <x:c r="L437" s="13" t="n">
        <x:f>I437/D437</x:f>
        <x:v>16.31130876747141</x:v>
      </x:c>
      <x:c r="M437" s="6" t="str">
        <x:v>Included</x:v>
      </x:c>
    </x:row>
    <x:row r="438" ht="23" customHeight="1">
      <x:c r="B438" s="12" t="str">
        <x:v>7541</x:v>
      </x:c>
      <x:c r="C438" s="6" t="str">
        <x:v>Bellwoods Ave / Treford Pl - SMART</x:v>
      </x:c>
      <x:c r="D438" s="6" t="n">
        <x:v>790</x:v>
      </x:c>
      <x:c r="E438" s="6" t="n">
        <x:v>765</x:v>
      </x:c>
      <x:c r="F438" s="6" t="n">
        <x:v>25</x:v>
      </x:c>
      <x:c r="G438" s="6" t="n">
        <x:v>11</x:v>
      </x:c>
      <x:c r="H438" s="6" t="n">
        <x:v>115</x:v>
      </x:c>
      <x:c r="I438" s="6" t="n">
        <x:v>8811</x:v>
      </x:c>
      <x:c r="J438" s="11" t="n">
        <x:f>E438/D438</x:f>
        <x:v>0.9683544303797469</x:v>
      </x:c>
      <x:c r="K438" s="11" t="n">
        <x:f>F438/D438</x:f>
        <x:v>0.03164556962025317</x:v>
      </x:c>
      <x:c r="L438" s="13" t="n">
        <x:f>I438/D438</x:f>
        <x:v>11.153164556962025</x:v>
      </x:c>
      <x:c r="M438" s="6" t="str">
        <x:v>Included</x:v>
      </x:c>
    </x:row>
    <x:row r="439" ht="23" customHeight="1">
      <x:c r="B439" s="12" t="str">
        <x:v>7542</x:v>
      </x:c>
      <x:c r="C439" s="6" t="str">
        <x:v>Queen St W / John St</x:v>
      </x:c>
      <x:c r="D439" s="6" t="n">
        <x:v>789</x:v>
      </x:c>
      <x:c r="E439" s="6" t="n">
        <x:v>648</x:v>
      </x:c>
      <x:c r="F439" s="6" t="n">
        <x:v>141</x:v>
      </x:c>
      <x:c r="G439" s="6" t="n">
        <x:v>11</x:v>
      </x:c>
      <x:c r="H439" s="6" t="n">
        <x:v>116</x:v>
      </x:c>
      <x:c r="I439" s="6" t="n">
        <x:v>5853</x:v>
      </x:c>
      <x:c r="J439" s="11" t="n">
        <x:f>E439/D439</x:f>
        <x:v>0.8212927756653993</x:v>
      </x:c>
      <x:c r="K439" s="11" t="n">
        <x:f>F439/D439</x:f>
        <x:v>0.17870722433460076</x:v>
      </x:c>
      <x:c r="L439" s="13" t="n">
        <x:f>I439/D439</x:f>
        <x:v>7.418250950570342</x:v>
      </x:c>
      <x:c r="M439" s="6" t="str">
        <x:v>Included</x:v>
      </x:c>
    </x:row>
    <x:row r="440" ht="23" customHeight="1">
      <x:c r="B440" s="12" t="str">
        <x:v>7543</x:v>
      </x:c>
      <x:c r="C440" s="6" t="str">
        <x:v>Nassau St / Bellevue Ave</x:v>
      </x:c>
      <x:c r="D440" s="6" t="n">
        <x:v>791</x:v>
      </x:c>
      <x:c r="E440" s="6" t="n">
        <x:v>790</x:v>
      </x:c>
      <x:c r="F440" s="6" t="n">
        <x:v>1</x:v>
      </x:c>
      <x:c r="G440" s="6" t="n">
        <x:v>11</x:v>
      </x:c>
      <x:c r="H440" s="6" t="n">
        <x:v>116</x:v>
      </x:c>
      <x:c r="I440" s="6" t="n">
        <x:v>7943</x:v>
      </x:c>
      <x:c r="J440" s="11" t="n">
        <x:f>E440/D440</x:f>
        <x:v>0.9987357774968394</x:v>
      </x:c>
      <x:c r="K440" s="11" t="n">
        <x:f>F440/D440</x:f>
        <x:v>0.0012642225031605564</x:v>
      </x:c>
      <x:c r="L440" s="13" t="n">
        <x:f>I440/D440</x:f>
        <x:v>10.0417193426043</x:v>
      </x:c>
      <x:c r="M440" s="6" t="str">
        <x:v>Included</x:v>
      </x:c>
    </x:row>
    <x:row r="441" ht="23" customHeight="1">
      <x:c r="B441" s="12" t="str">
        <x:v>7545</x:v>
      </x:c>
      <x:c r="C441" s="6" t="str">
        <x:v>Baldwin St / Henry St</x:v>
      </x:c>
      <x:c r="D441" s="6" t="n">
        <x:v>790</x:v>
      </x:c>
      <x:c r="E441" s="6" t="n">
        <x:v>728</x:v>
      </x:c>
      <x:c r="F441" s="6" t="n">
        <x:v>62</x:v>
      </x:c>
      <x:c r="G441" s="6" t="n">
        <x:v>11</x:v>
      </x:c>
      <x:c r="H441" s="6" t="n">
        <x:v>114</x:v>
      </x:c>
      <x:c r="I441" s="6" t="n">
        <x:v>6955</x:v>
      </x:c>
      <x:c r="J441" s="11" t="n">
        <x:f>E441/D441</x:f>
        <x:v>0.9215189873417722</x:v>
      </x:c>
      <x:c r="K441" s="11" t="n">
        <x:f>F441/D441</x:f>
        <x:v>0.07848101265822785</x:v>
      </x:c>
      <x:c r="L441" s="13" t="n">
        <x:f>I441/D441</x:f>
        <x:v>8.80379746835443</x:v>
      </x:c>
      <x:c r="M441" s="6" t="str">
        <x:v>Included</x:v>
      </x:c>
    </x:row>
    <x:row r="442" ht="23" customHeight="1">
      <x:c r="B442" s="12" t="str">
        <x:v>7546</x:v>
      </x:c>
      <x:c r="C442" s="6" t="str">
        <x:v>Ross St / Cecil St - SMART</x:v>
      </x:c>
      <x:c r="D442" s="6" t="n">
        <x:v>788</x:v>
      </x:c>
      <x:c r="E442" s="6" t="n">
        <x:v>775</x:v>
      </x:c>
      <x:c r="F442" s="6" t="n">
        <x:v>13</x:v>
      </x:c>
      <x:c r="G442" s="6" t="n">
        <x:v>11</x:v>
      </x:c>
      <x:c r="H442" s="6" t="n">
        <x:v>115</x:v>
      </x:c>
      <x:c r="I442" s="6" t="n">
        <x:v>10509</x:v>
      </x:c>
      <x:c r="J442" s="11" t="n">
        <x:f>E442/D442</x:f>
        <x:v>0.983502538071066</x:v>
      </x:c>
      <x:c r="K442" s="11" t="n">
        <x:f>F442/D442</x:f>
        <x:v>0.01649746192893401</x:v>
      </x:c>
      <x:c r="L442" s="13" t="n">
        <x:f>I442/D442</x:f>
        <x:v>13.336294416243655</x:v>
      </x:c>
      <x:c r="M442" s="6" t="str">
        <x:v>Included</x:v>
      </x:c>
    </x:row>
    <x:row r="443" ht="23" customHeight="1">
      <x:c r="B443" s="12" t="str">
        <x:v>7547</x:v>
      </x:c>
      <x:c r="C443" s="6" t="str">
        <x:v>Orde St / McCaul St</x:v>
      </x:c>
      <x:c r="D443" s="6" t="n">
        <x:v>790</x:v>
      </x:c>
      <x:c r="E443" s="6" t="n">
        <x:v>753</x:v>
      </x:c>
      <x:c r="F443" s="6" t="n">
        <x:v>37</x:v>
      </x:c>
      <x:c r="G443" s="6" t="n">
        <x:v>11</x:v>
      </x:c>
      <x:c r="H443" s="6" t="n">
        <x:v>114</x:v>
      </x:c>
      <x:c r="I443" s="6" t="n">
        <x:v>8334</x:v>
      </x:c>
      <x:c r="J443" s="11" t="n">
        <x:f>E443/D443</x:f>
        <x:v>0.9531645569620253</x:v>
      </x:c>
      <x:c r="K443" s="11" t="n">
        <x:f>F443/D443</x:f>
        <x:v>0.04683544303797468</x:v>
      </x:c>
      <x:c r="L443" s="13" t="n">
        <x:f>I443/D443</x:f>
        <x:v>10.549367088607594</x:v>
      </x:c>
      <x:c r="M443" s="6" t="str">
        <x:v>Included</x:v>
      </x:c>
    </x:row>
    <x:row r="444" ht="23" customHeight="1">
      <x:c r="B444" s="12" t="str">
        <x:v>7548</x:v>
      </x:c>
      <x:c r="C444" s="6" t="str">
        <x:v>St. Joseph St / Bay St - SMART</x:v>
      </x:c>
      <x:c r="D444" s="6" t="n">
        <x:v>779</x:v>
      </x:c>
      <x:c r="E444" s="6" t="n">
        <x:v>779</x:v>
      </x:c>
      <x:c r="F444" s="6" t="n">
        <x:v>0</x:v>
      </x:c>
      <x:c r="G444" s="6" t="n">
        <x:v>11</x:v>
      </x:c>
      <x:c r="H444" s="6" t="n">
        <x:v>115</x:v>
      </x:c>
      <x:c r="I444" s="6" t="n">
        <x:v>13436</x:v>
      </x:c>
      <x:c r="J444" s="11" t="n">
        <x:f>E444/D444</x:f>
        <x:v>1</x:v>
      </x:c>
      <x:c r="K444" s="11" t="n">
        <x:f>F444/D444</x:f>
        <x:v>0</x:v>
      </x:c>
      <x:c r="L444" s="13" t="n">
        <x:f>I444/D444</x:f>
        <x:v>17.247753530166882</x:v>
      </x:c>
      <x:c r="M444" s="6" t="str">
        <x:v>Included</x:v>
      </x:c>
    </x:row>
    <x:row r="445" ht="23" customHeight="1">
      <x:c r="B445" s="12" t="str">
        <x:v>7549</x:v>
      </x:c>
      <x:c r="C445" s="6" t="str">
        <x:v>439 Sherbourne St</x:v>
      </x:c>
      <x:c r="D445" s="6" t="n">
        <x:v>788</x:v>
      </x:c>
      <x:c r="E445" s="6" t="n">
        <x:v>788</x:v>
      </x:c>
      <x:c r="F445" s="6" t="n">
        <x:v>0</x:v>
      </x:c>
      <x:c r="G445" s="6" t="n">
        <x:v>11</x:v>
      </x:c>
      <x:c r="H445" s="6" t="n">
        <x:v>114</x:v>
      </x:c>
      <x:c r="I445" s="6" t="n">
        <x:v>31032</x:v>
      </x:c>
      <x:c r="J445" s="11" t="n">
        <x:f>E445/D445</x:f>
        <x:v>1</x:v>
      </x:c>
      <x:c r="K445" s="11" t="n">
        <x:f>F445/D445</x:f>
        <x:v>0</x:v>
      </x:c>
      <x:c r="L445" s="13" t="n">
        <x:f>I445/D445</x:f>
        <x:v>39.380710659898476</x:v>
      </x:c>
      <x:c r="M445" s="6" t="str">
        <x:v>Included</x:v>
      </x:c>
    </x:row>
    <x:row r="446" ht="23" customHeight="1">
      <x:c r="B446" s="12" t="str">
        <x:v>7551</x:v>
      </x:c>
      <x:c r="C446" s="6" t="str">
        <x:v>The Esplanade / Hahn Pl</x:v>
      </x:c>
      <x:c r="D446" s="6" t="n">
        <x:v>779</x:v>
      </x:c>
      <x:c r="E446" s="6" t="n">
        <x:v>600</x:v>
      </x:c>
      <x:c r="F446" s="6" t="n">
        <x:v>179</x:v>
      </x:c>
      <x:c r="G446" s="6" t="n">
        <x:v>11</x:v>
      </x:c>
      <x:c r="H446" s="6" t="n">
        <x:v>115</x:v>
      </x:c>
      <x:c r="I446" s="6" t="n">
        <x:v>5032</x:v>
      </x:c>
      <x:c r="J446" s="11" t="n">
        <x:f>E446/D446</x:f>
        <x:v>0.7702182284980744</x:v>
      </x:c>
      <x:c r="K446" s="11" t="n">
        <x:f>F446/D446</x:f>
        <x:v>0.22978177150192555</x:v>
      </x:c>
      <x:c r="L446" s="13" t="n">
        <x:f>I446/D446</x:f>
        <x:v>6.459563543003851</x:v>
      </x:c>
      <x:c r="M446" s="6" t="str">
        <x:v>Included</x:v>
      </x:c>
    </x:row>
    <x:row r="447" ht="23" customHeight="1">
      <x:c r="B447" s="12" t="str">
        <x:v>7552</x:v>
      </x:c>
      <x:c r="C447" s="6" t="str">
        <x:v>Lake Shore Blvd W / Thirty Ninth Street</x:v>
      </x:c>
      <x:c r="D447" s="6" t="n">
        <x:v>772</x:v>
      </x:c>
      <x:c r="E447" s="6" t="n">
        <x:v>772</x:v>
      </x:c>
      <x:c r="F447" s="6" t="n">
        <x:v>0</x:v>
      </x:c>
      <x:c r="G447" s="6" t="n">
        <x:v>11</x:v>
      </x:c>
      <x:c r="H447" s="6" t="n">
        <x:v>112</x:v>
      </x:c>
      <x:c r="I447" s="6" t="n">
        <x:v>9484</x:v>
      </x:c>
      <x:c r="J447" s="11" t="n">
        <x:f>E447/D447</x:f>
        <x:v>1</x:v>
      </x:c>
      <x:c r="K447" s="11" t="n">
        <x:f>F447/D447</x:f>
        <x:v>0</x:v>
      </x:c>
      <x:c r="L447" s="13" t="n">
        <x:f>I447/D447</x:f>
        <x:v>12.284974093264248</x:v>
      </x:c>
      <x:c r="M447" s="6" t="str">
        <x:v>Included</x:v>
      </x:c>
    </x:row>
    <x:row r="448" ht="23" customHeight="1">
      <x:c r="B448" s="12" t="str">
        <x:v>7553</x:v>
      </x:c>
      <x:c r="C448" s="6" t="str">
        <x:v>Lake Shore Blvd W / Twenty Fourth St</x:v>
      </x:c>
      <x:c r="D448" s="6" t="n">
        <x:v>786</x:v>
      </x:c>
      <x:c r="E448" s="6" t="n">
        <x:v>786</x:v>
      </x:c>
      <x:c r="F448" s="6" t="n">
        <x:v>0</x:v>
      </x:c>
      <x:c r="G448" s="6" t="n">
        <x:v>11</x:v>
      </x:c>
      <x:c r="H448" s="6" t="n">
        <x:v>115</x:v>
      </x:c>
      <x:c r="I448" s="6" t="n">
        <x:v>9895</x:v>
      </x:c>
      <x:c r="J448" s="11" t="n">
        <x:f>E448/D448</x:f>
        <x:v>1</x:v>
      </x:c>
      <x:c r="K448" s="11" t="n">
        <x:f>F448/D448</x:f>
        <x:v>0</x:v>
      </x:c>
      <x:c r="L448" s="13" t="n">
        <x:f>I448/D448</x:f>
        <x:v>12.589058524173028</x:v>
      </x:c>
      <x:c r="M448" s="6" t="str">
        <x:v>Included</x:v>
      </x:c>
    </x:row>
    <x:row r="449" ht="23" customHeight="1">
      <x:c r="B449" s="12" t="str">
        <x:v>7554</x:v>
      </x:c>
      <x:c r="C449" s="6" t="str">
        <x:v>Humber College (Lakeshore Campus)</x:v>
      </x:c>
      <x:c r="D449" s="6" t="n">
        <x:v>780</x:v>
      </x:c>
      <x:c r="E449" s="6" t="n">
        <x:v>780</x:v>
      </x:c>
      <x:c r="F449" s="6" t="n">
        <x:v>0</x:v>
      </x:c>
      <x:c r="G449" s="6" t="n">
        <x:v>11</x:v>
      </x:c>
      <x:c r="H449" s="6" t="n">
        <x:v>115</x:v>
      </x:c>
      <x:c r="I449" s="6" t="n">
        <x:v>15323</x:v>
      </x:c>
      <x:c r="J449" s="11" t="n">
        <x:f>E449/D449</x:f>
        <x:v>1</x:v>
      </x:c>
      <x:c r="K449" s="11" t="n">
        <x:f>F449/D449</x:f>
        <x:v>0</x:v>
      </x:c>
      <x:c r="L449" s="13" t="n">
        <x:f>I449/D449</x:f>
        <x:v>19.644871794871793</x:v>
      </x:c>
      <x:c r="M449" s="6" t="str">
        <x:v>Included</x:v>
      </x:c>
    </x:row>
    <x:row r="450" ht="23" customHeight="1">
      <x:c r="B450" s="12" t="str">
        <x:v>7555</x:v>
      </x:c>
      <x:c r="C450" s="6" t="str">
        <x:v>Royal York Rd / Mimico Ave</x:v>
      </x:c>
      <x:c r="D450" s="6" t="n">
        <x:v>789</x:v>
      </x:c>
      <x:c r="E450" s="6" t="n">
        <x:v>789</x:v>
      </x:c>
      <x:c r="F450" s="6" t="n">
        <x:v>0</x:v>
      </x:c>
      <x:c r="G450" s="6" t="n">
        <x:v>11</x:v>
      </x:c>
      <x:c r="H450" s="6" t="n">
        <x:v>116</x:v>
      </x:c>
      <x:c r="I450" s="6" t="n">
        <x:v>13630</x:v>
      </x:c>
      <x:c r="J450" s="11" t="n">
        <x:f>E450/D450</x:f>
        <x:v>1</x:v>
      </x:c>
      <x:c r="K450" s="11" t="n">
        <x:f>F450/D450</x:f>
        <x:v>0</x:v>
      </x:c>
      <x:c r="L450" s="13" t="n">
        <x:f>I450/D450</x:f>
        <x:v>17.275031685678073</x:v>
      </x:c>
      <x:c r="M450" s="6" t="str">
        <x:v>Included</x:v>
      </x:c>
    </x:row>
    <x:row r="451" ht="23" customHeight="1">
      <x:c r="B451" s="12" t="str">
        <x:v>7556</x:v>
      </x:c>
      <x:c r="C451" s="6" t="str">
        <x:v>Windsor St / Newcastle St</x:v>
      </x:c>
      <x:c r="D451" s="6" t="n">
        <x:v>783</x:v>
      </x:c>
      <x:c r="E451" s="6" t="n">
        <x:v>783</x:v>
      </x:c>
      <x:c r="F451" s="6" t="n">
        <x:v>0</x:v>
      </x:c>
      <x:c r="G451" s="6" t="n">
        <x:v>11</x:v>
      </x:c>
      <x:c r="H451" s="6" t="n">
        <x:v>114</x:v>
      </x:c>
      <x:c r="I451" s="6" t="n">
        <x:v>17303</x:v>
      </x:c>
      <x:c r="J451" s="11" t="n">
        <x:f>E451/D451</x:f>
        <x:v>1</x:v>
      </x:c>
      <x:c r="K451" s="11" t="n">
        <x:f>F451/D451</x:f>
        <x:v>0</x:v>
      </x:c>
      <x:c r="L451" s="13" t="n">
        <x:f>I451/D451</x:f>
        <x:v>22.098339719029376</x:v>
      </x:c>
      <x:c r="M451" s="6" t="str">
        <x:v>Included</x:v>
      </x:c>
    </x:row>
    <x:row r="452" ht="23" customHeight="1">
      <x:c r="B452" s="12" t="str">
        <x:v>7557</x:v>
      </x:c>
      <x:c r="C452" s="6" t="str">
        <x:v>The Queensway / High St</x:v>
      </x:c>
      <x:c r="D452" s="6" t="n">
        <x:v>787</x:v>
      </x:c>
      <x:c r="E452" s="6" t="n">
        <x:v>785</x:v>
      </x:c>
      <x:c r="F452" s="6" t="n">
        <x:v>2</x:v>
      </x:c>
      <x:c r="G452" s="6" t="n">
        <x:v>11</x:v>
      </x:c>
      <x:c r="H452" s="6" t="n">
        <x:v>115</x:v>
      </x:c>
      <x:c r="I452" s="6" t="n">
        <x:v>5010</x:v>
      </x:c>
      <x:c r="J452" s="11" t="n">
        <x:f>E452/D452</x:f>
        <x:v>0.9974587039390089</x:v>
      </x:c>
      <x:c r="K452" s="11" t="n">
        <x:f>F452/D452</x:f>
        <x:v>0.0025412960609911056</x:v>
      </x:c>
      <x:c r="L452" s="13" t="n">
        <x:f>I452/D452</x:f>
        <x:v>6.365946632782719</x:v>
      </x:c>
      <x:c r="M452" s="6" t="str">
        <x:v>Included</x:v>
      </x:c>
    </x:row>
    <x:row r="453" ht="23" customHeight="1">
      <x:c r="B453" s="12" t="str">
        <x:v>7558</x:v>
      </x:c>
      <x:c r="C453" s="6" t="str">
        <x:v>Berry Rd / Bell Manor Dr</x:v>
      </x:c>
      <x:c r="D453" s="6" t="n">
        <x:v>786</x:v>
      </x:c>
      <x:c r="E453" s="6" t="n">
        <x:v>515</x:v>
      </x:c>
      <x:c r="F453" s="6" t="n">
        <x:v>271</x:v>
      </x:c>
      <x:c r="G453" s="6" t="n">
        <x:v>11</x:v>
      </x:c>
      <x:c r="H453" s="6" t="n">
        <x:v>115</x:v>
      </x:c>
      <x:c r="I453" s="6" t="n">
        <x:v>1339</x:v>
      </x:c>
      <x:c r="J453" s="11" t="n">
        <x:f>E453/D453</x:f>
        <x:v>0.6552162849872774</x:v>
      </x:c>
      <x:c r="K453" s="11" t="n">
        <x:f>F453/D453</x:f>
        <x:v>0.34478371501272265</x:v>
      </x:c>
      <x:c r="L453" s="13" t="n">
        <x:f>I453/D453</x:f>
        <x:v>1.7035623409669212</x:v>
      </x:c>
      <x:c r="M453" s="6" t="str">
        <x:v>Included</x:v>
      </x:c>
    </x:row>
    <x:row r="454" ht="23" customHeight="1">
      <x:c r="B454" s="12" t="str">
        <x:v>7559</x:v>
      </x:c>
      <x:c r="C454" s="6" t="str">
        <x:v>Swansea Community Centre</x:v>
      </x:c>
      <x:c r="D454" s="6" t="n">
        <x:v>784</x:v>
      </x:c>
      <x:c r="E454" s="6" t="n">
        <x:v>784</x:v>
      </x:c>
      <x:c r="F454" s="6" t="n">
        <x:v>0</x:v>
      </x:c>
      <x:c r="G454" s="6" t="n">
        <x:v>11</x:v>
      </x:c>
      <x:c r="H454" s="6" t="n">
        <x:v>114</x:v>
      </x:c>
      <x:c r="I454" s="6" t="n">
        <x:v>7681</x:v>
      </x:c>
      <x:c r="J454" s="11" t="n">
        <x:f>E454/D454</x:f>
        <x:v>1</x:v>
      </x:c>
      <x:c r="K454" s="11" t="n">
        <x:f>F454/D454</x:f>
        <x:v>0</x:v>
      </x:c>
      <x:c r="L454" s="13" t="n">
        <x:f>I454/D454</x:f>
        <x:v>9.79719387755102</x:v>
      </x:c>
      <x:c r="M454" s="6" t="str">
        <x:v>Included</x:v>
      </x:c>
    </x:row>
    <x:row r="455" ht="23" customHeight="1">
      <x:c r="B455" s="12" t="str">
        <x:v>7561</x:v>
      </x:c>
      <x:c r="C455" s="6" t="str">
        <x:v>Annette St / Jane St</x:v>
      </x:c>
      <x:c r="D455" s="6" t="n">
        <x:v>779</x:v>
      </x:c>
      <x:c r="E455" s="6" t="n">
        <x:v>779</x:v>
      </x:c>
      <x:c r="F455" s="6" t="n">
        <x:v>0</x:v>
      </x:c>
      <x:c r="G455" s="6" t="n">
        <x:v>11</x:v>
      </x:c>
      <x:c r="H455" s="6" t="n">
        <x:v>114</x:v>
      </x:c>
      <x:c r="I455" s="6" t="n">
        <x:v>4954</x:v>
      </x:c>
      <x:c r="J455" s="11" t="n">
        <x:f>E455/D455</x:f>
        <x:v>1</x:v>
      </x:c>
      <x:c r="K455" s="11" t="n">
        <x:f>F455/D455</x:f>
        <x:v>0</x:v>
      </x:c>
      <x:c r="L455" s="13" t="n">
        <x:f>I455/D455</x:f>
        <x:v>6.359435173299102</x:v>
      </x:c>
      <x:c r="M455" s="6" t="str">
        <x:v>Included</x:v>
      </x:c>
    </x:row>
    <x:row r="456" ht="23" customHeight="1">
      <x:c r="B456" s="12" t="str">
        <x:v>7562</x:v>
      </x:c>
      <x:c r="C456" s="6" t="str">
        <x:v>Priscilla Ave / Dundas St W</x:v>
      </x:c>
      <x:c r="D456" s="6" t="n">
        <x:v>789</x:v>
      </x:c>
      <x:c r="E456" s="6" t="n">
        <x:v>789</x:v>
      </x:c>
      <x:c r="F456" s="6" t="n">
        <x:v>0</x:v>
      </x:c>
      <x:c r="G456" s="6" t="n">
        <x:v>11</x:v>
      </x:c>
      <x:c r="H456" s="6" t="n">
        <x:v>116</x:v>
      </x:c>
      <x:c r="I456" s="6" t="n">
        <x:v>9838</x:v>
      </x:c>
      <x:c r="J456" s="11" t="n">
        <x:f>E456/D456</x:f>
        <x:v>1</x:v>
      </x:c>
      <x:c r="K456" s="11" t="n">
        <x:f>F456/D456</x:f>
        <x:v>0</x:v>
      </x:c>
      <x:c r="L456" s="13" t="n">
        <x:f>I456/D456</x:f>
        <x:v>12.46894803548796</x:v>
      </x:c>
      <x:c r="M456" s="6" t="str">
        <x:v>Included</x:v>
      </x:c>
    </x:row>
    <x:row r="457" ht="23" customHeight="1">
      <x:c r="B457" s="12" t="str">
        <x:v>7563</x:v>
      </x:c>
      <x:c r="C457" s="6" t="str">
        <x:v>St. Clair Ave W / Castleton Ave</x:v>
      </x:c>
      <x:c r="D457" s="6" t="n">
        <x:v>777</x:v>
      </x:c>
      <x:c r="E457" s="6" t="n">
        <x:v>777</x:v>
      </x:c>
      <x:c r="F457" s="6" t="n">
        <x:v>0</x:v>
      </x:c>
      <x:c r="G457" s="6" t="n">
        <x:v>11</x:v>
      </x:c>
      <x:c r="H457" s="6" t="n">
        <x:v>113</x:v>
      </x:c>
      <x:c r="I457" s="6" t="n">
        <x:v>8591</x:v>
      </x:c>
      <x:c r="J457" s="11" t="n">
        <x:f>E457/D457</x:f>
        <x:v>1</x:v>
      </x:c>
      <x:c r="K457" s="11" t="n">
        <x:f>F457/D457</x:f>
        <x:v>0</x:v>
      </x:c>
      <x:c r="L457" s="13" t="n">
        <x:f>I457/D457</x:f>
        <x:v>11.056628056628057</x:v>
      </x:c>
      <x:c r="M457" s="6" t="str">
        <x:v>Included</x:v>
      </x:c>
    </x:row>
    <x:row r="458" ht="23" customHeight="1">
      <x:c r="B458" s="12" t="str">
        <x:v>7564</x:v>
      </x:c>
      <x:c r="C458" s="6" t="str">
        <x:v>Durie St / Dundas St W</x:v>
      </x:c>
      <x:c r="D458" s="6" t="n">
        <x:v>792</x:v>
      </x:c>
      <x:c r="E458" s="6" t="n">
        <x:v>792</x:v>
      </x:c>
      <x:c r="F458" s="6" t="n">
        <x:v>0</x:v>
      </x:c>
      <x:c r="G458" s="6" t="n">
        <x:v>11</x:v>
      </x:c>
      <x:c r="H458" s="6" t="n">
        <x:v>114</x:v>
      </x:c>
      <x:c r="I458" s="6" t="n">
        <x:v>14991</x:v>
      </x:c>
      <x:c r="J458" s="11" t="n">
        <x:f>E458/D458</x:f>
        <x:v>1</x:v>
      </x:c>
      <x:c r="K458" s="11" t="n">
        <x:f>F458/D458</x:f>
        <x:v>0</x:v>
      </x:c>
      <x:c r="L458" s="13" t="n">
        <x:f>I458/D458</x:f>
        <x:v>18.928030303030305</x:v>
      </x:c>
      <x:c r="M458" s="6" t="str">
        <x:v>Included</x:v>
      </x:c>
    </x:row>
    <x:row r="459" ht="23" customHeight="1">
      <x:c r="B459" s="12" t="str">
        <x:v>7565</x:v>
      </x:c>
      <x:c r="C459" s="6" t="str">
        <x:v>St. Clair Ave W / Gunns Rd</x:v>
      </x:c>
      <x:c r="D459" s="6" t="n">
        <x:v>794</x:v>
      </x:c>
      <x:c r="E459" s="6" t="n">
        <x:v>794</x:v>
      </x:c>
      <x:c r="F459" s="6" t="n">
        <x:v>0</x:v>
      </x:c>
      <x:c r="G459" s="6" t="n">
        <x:v>11</x:v>
      </x:c>
      <x:c r="H459" s="6" t="n">
        <x:v>115</x:v>
      </x:c>
      <x:c r="I459" s="6" t="n">
        <x:v>17192</x:v>
      </x:c>
      <x:c r="J459" s="11" t="n">
        <x:f>E459/D459</x:f>
        <x:v>1</x:v>
      </x:c>
      <x:c r="K459" s="11" t="n">
        <x:f>F459/D459</x:f>
        <x:v>0</x:v>
      </x:c>
      <x:c r="L459" s="13" t="n">
        <x:f>I459/D459</x:f>
        <x:v>21.652392947103273</x:v>
      </x:c>
      <x:c r="M459" s="6" t="str">
        <x:v>Included</x:v>
      </x:c>
    </x:row>
    <x:row r="460" ht="23" customHeight="1">
      <x:c r="B460" s="12" t="str">
        <x:v>7566</x:v>
      </x:c>
      <x:c r="C460" s="6" t="str">
        <x:v>Weston Rd / St. Clair Ave W</x:v>
      </x:c>
      <x:c r="D460" s="6" t="n">
        <x:v>786</x:v>
      </x:c>
      <x:c r="E460" s="6" t="n">
        <x:v>786</x:v>
      </x:c>
      <x:c r="F460" s="6" t="n">
        <x:v>0</x:v>
      </x:c>
      <x:c r="G460" s="6" t="n">
        <x:v>11</x:v>
      </x:c>
      <x:c r="H460" s="6" t="n">
        <x:v>114</x:v>
      </x:c>
      <x:c r="I460" s="6" t="n">
        <x:v>13761</x:v>
      </x:c>
      <x:c r="J460" s="11" t="n">
        <x:f>E460/D460</x:f>
        <x:v>1</x:v>
      </x:c>
      <x:c r="K460" s="11" t="n">
        <x:f>F460/D460</x:f>
        <x:v>0</x:v>
      </x:c>
      <x:c r="L460" s="13" t="n">
        <x:f>I460/D460</x:f>
        <x:v>17.50763358778626</x:v>
      </x:c>
      <x:c r="M460" s="6" t="str">
        <x:v>Included</x:v>
      </x:c>
    </x:row>
    <x:row r="461" ht="23" customHeight="1">
      <x:c r="B461" s="12" t="str">
        <x:v>7567</x:v>
      </x:c>
      <x:c r="C461" s="6" t="str">
        <x:v>Weston Lions Park</x:v>
      </x:c>
      <x:c r="D461" s="6" t="n">
        <x:v>795</x:v>
      </x:c>
      <x:c r="E461" s="6" t="n">
        <x:v>795</x:v>
      </x:c>
      <x:c r="F461" s="6" t="n">
        <x:v>0</x:v>
      </x:c>
      <x:c r="G461" s="6" t="n">
        <x:v>11</x:v>
      </x:c>
      <x:c r="H461" s="6" t="n">
        <x:v>114</x:v>
      </x:c>
      <x:c r="I461" s="6" t="n">
        <x:v>18517</x:v>
      </x:c>
      <x:c r="J461" s="11" t="n">
        <x:f>E461/D461</x:f>
        <x:v>1</x:v>
      </x:c>
      <x:c r="K461" s="11" t="n">
        <x:f>F461/D461</x:f>
        <x:v>0</x:v>
      </x:c>
      <x:c r="L461" s="13" t="n">
        <x:f>I461/D461</x:f>
        <x:v>23.29182389937107</x:v>
      </x:c>
      <x:c r="M461" s="6" t="str">
        <x:v>Included</x:v>
      </x:c>
    </x:row>
    <x:row r="462" ht="23" customHeight="1">
      <x:c r="B462" s="12" t="str">
        <x:v>7568</x:v>
      </x:c>
      <x:c r="C462" s="6" t="str">
        <x:v>Jameson Ave / Queen St W</x:v>
      </x:c>
      <x:c r="D462" s="6" t="n">
        <x:v>670</x:v>
      </x:c>
      <x:c r="E462" s="6" t="n">
        <x:v>609</x:v>
      </x:c>
      <x:c r="F462" s="6" t="n">
        <x:v>61</x:v>
      </x:c>
      <x:c r="G462" s="6" t="n">
        <x:v>9</x:v>
      </x:c>
      <x:c r="H462" s="6" t="n">
        <x:v>82</x:v>
      </x:c>
      <x:c r="I462" s="6" t="n">
        <x:v>5458</x:v>
      </x:c>
      <x:c r="J462" s="11" t="n">
        <x:f>E462/D462</x:f>
        <x:v>0.908955223880597</x:v>
      </x:c>
      <x:c r="K462" s="11" t="n">
        <x:f>F462/D462</x:f>
        <x:v>0.09104477611940298</x:v>
      </x:c>
      <x:c r="L462" s="13" t="n">
        <x:f>I462/D462</x:f>
        <x:v>8.146268656716417</x:v>
      </x:c>
      <x:c r="M462" s="6" t="str">
        <x:v>Included</x:v>
      </x:c>
    </x:row>
    <x:row r="463" ht="23" customHeight="1">
      <x:c r="B463" s="12" t="str">
        <x:v>7569</x:v>
      </x:c>
      <x:c r="C463" s="6" t="str">
        <x:v>Toronto Inukshuk Park</x:v>
      </x:c>
      <x:c r="D463" s="6" t="n">
        <x:v>783</x:v>
      </x:c>
      <x:c r="E463" s="6" t="n">
        <x:v>747</x:v>
      </x:c>
      <x:c r="F463" s="6" t="n">
        <x:v>36</x:v>
      </x:c>
      <x:c r="G463" s="6" t="n">
        <x:v>11</x:v>
      </x:c>
      <x:c r="H463" s="6" t="n">
        <x:v>115</x:v>
      </x:c>
      <x:c r="I463" s="6" t="n">
        <x:v>37912</x:v>
      </x:c>
      <x:c r="J463" s="11" t="n">
        <x:f>E463/D463</x:f>
        <x:v>0.9540229885057471</x:v>
      </x:c>
      <x:c r="K463" s="11" t="n">
        <x:f>F463/D463</x:f>
        <x:v>0.04597701149425287</x:v>
      </x:c>
      <x:c r="L463" s="13" t="n">
        <x:f>I463/D463</x:f>
        <x:v>48.41890166028097</x:v>
      </x:c>
      <x:c r="M463" s="6" t="str">
        <x:v>Included</x:v>
      </x:c>
    </x:row>
    <x:row r="464" ht="23" customHeight="1">
      <x:c r="B464" s="12" t="str">
        <x:v>7570</x:v>
      </x:c>
      <x:c r="C464" s="6" t="str">
        <x:v>Carlaw Ave / Dundas St E</x:v>
      </x:c>
      <x:c r="D464" s="6" t="n">
        <x:v>784</x:v>
      </x:c>
      <x:c r="E464" s="6" t="n">
        <x:v>580</x:v>
      </x:c>
      <x:c r="F464" s="6" t="n">
        <x:v>204</x:v>
      </x:c>
      <x:c r="G464" s="6" t="n">
        <x:v>11</x:v>
      </x:c>
      <x:c r="H464" s="6" t="n">
        <x:v>112</x:v>
      </x:c>
      <x:c r="I464" s="6" t="n">
        <x:v>2058</x:v>
      </x:c>
      <x:c r="J464" s="11" t="n">
        <x:f>E464/D464</x:f>
        <x:v>0.7397959183673469</x:v>
      </x:c>
      <x:c r="K464" s="11" t="n">
        <x:f>F464/D464</x:f>
        <x:v>0.2602040816326531</x:v>
      </x:c>
      <x:c r="L464" s="13" t="n">
        <x:f>I464/D464</x:f>
        <x:v>2.625</x:v>
      </x:c>
      <x:c r="M464" s="6" t="str">
        <x:v>Included</x:v>
      </x:c>
    </x:row>
    <x:row r="465" ht="23" customHeight="1">
      <x:c r="B465" s="12" t="str">
        <x:v>7571</x:v>
      </x:c>
      <x:c r="C465" s="6" t="str">
        <x:v>Highfield Rd / Gerrard St E</x:v>
      </x:c>
      <x:c r="D465" s="6" t="n">
        <x:v>783</x:v>
      </x:c>
      <x:c r="E465" s="6" t="n">
        <x:v>430</x:v>
      </x:c>
      <x:c r="F465" s="6" t="n">
        <x:v>353</x:v>
      </x:c>
      <x:c r="G465" s="6" t="n">
        <x:v>11</x:v>
      </x:c>
      <x:c r="H465" s="6" t="n">
        <x:v>115</x:v>
      </x:c>
      <x:c r="I465" s="6" t="n">
        <x:v>2214</x:v>
      </x:c>
      <x:c r="J465" s="11" t="n">
        <x:f>E465/D465</x:f>
        <x:v>0.5491698595146871</x:v>
      </x:c>
      <x:c r="K465" s="11" t="n">
        <x:f>F465/D465</x:f>
        <x:v>0.4508301404853129</x:v>
      </x:c>
      <x:c r="L465" s="13" t="n">
        <x:f>I465/D465</x:f>
        <x:v>2.8275862068965516</x:v>
      </x:c>
      <x:c r="M465" s="6" t="str">
        <x:v>Included</x:v>
      </x:c>
    </x:row>
    <x:row r="466" ht="23" customHeight="1">
      <x:c r="B466" s="12" t="str">
        <x:v>7572</x:v>
      </x:c>
      <x:c r="C466" s="6" t="str">
        <x:v>Cosburn Ave / Durant Ave</x:v>
      </x:c>
      <x:c r="D466" s="6" t="n">
        <x:v>792</x:v>
      </x:c>
      <x:c r="E466" s="6" t="n">
        <x:v>792</x:v>
      </x:c>
      <x:c r="F466" s="6" t="n">
        <x:v>0</x:v>
      </x:c>
      <x:c r="G466" s="6" t="n">
        <x:v>11</x:v>
      </x:c>
      <x:c r="H466" s="6" t="n">
        <x:v>114</x:v>
      </x:c>
      <x:c r="I466" s="6" t="n">
        <x:v>10198</x:v>
      </x:c>
      <x:c r="J466" s="11" t="n">
        <x:f>E466/D466</x:f>
        <x:v>1</x:v>
      </x:c>
      <x:c r="K466" s="11" t="n">
        <x:f>F466/D466</x:f>
        <x:v>0</x:v>
      </x:c>
      <x:c r="L466" s="13" t="n">
        <x:f>I466/D466</x:f>
        <x:v>12.876262626262626</x:v>
      </x:c>
      <x:c r="M466" s="6" t="str">
        <x:v>Included</x:v>
      </x:c>
    </x:row>
    <x:row r="467" ht="23" customHeight="1">
      <x:c r="B467" s="12" t="str">
        <x:v>7575</x:v>
      </x:c>
      <x:c r="C467" s="6" t="str">
        <x:v>Bayview Ave / Lawren Harris Square</x:v>
      </x:c>
      <x:c r="D467" s="6" t="n">
        <x:v>790</x:v>
      </x:c>
      <x:c r="E467" s="6" t="n">
        <x:v>574</x:v>
      </x:c>
      <x:c r="F467" s="6" t="n">
        <x:v>216</x:v>
      </x:c>
      <x:c r="G467" s="6" t="n">
        <x:v>11</x:v>
      </x:c>
      <x:c r="H467" s="6" t="n">
        <x:v>115</x:v>
      </x:c>
      <x:c r="I467" s="6" t="n">
        <x:v>5121</x:v>
      </x:c>
      <x:c r="J467" s="11" t="n">
        <x:f>E467/D467</x:f>
        <x:v>0.7265822784810126</x:v>
      </x:c>
      <x:c r="K467" s="11" t="n">
        <x:f>F467/D467</x:f>
        <x:v>0.27341772151898736</x:v>
      </x:c>
      <x:c r="L467" s="13" t="n">
        <x:f>I467/D467</x:f>
        <x:v>6.482278481012658</x:v>
      </x:c>
      <x:c r="M467" s="6" t="str">
        <x:v>Included</x:v>
      </x:c>
    </x:row>
    <x:row r="468" ht="23" customHeight="1">
      <x:c r="B468" s="12" t="str">
        <x:v>7576</x:v>
      </x:c>
      <x:c r="C468" s="6" t="str">
        <x:v>Front St E / Bayview Avenue</x:v>
      </x:c>
      <x:c r="D468" s="6" t="n">
        <x:v>785</x:v>
      </x:c>
      <x:c r="E468" s="6" t="n">
        <x:v>645</x:v>
      </x:c>
      <x:c r="F468" s="6" t="n">
        <x:v>140</x:v>
      </x:c>
      <x:c r="G468" s="6" t="n">
        <x:v>11</x:v>
      </x:c>
      <x:c r="H468" s="6" t="n">
        <x:v>114</x:v>
      </x:c>
      <x:c r="I468" s="6" t="n">
        <x:v>9845</x:v>
      </x:c>
      <x:c r="J468" s="11" t="n">
        <x:f>E468/D468</x:f>
        <x:v>0.821656050955414</x:v>
      </x:c>
      <x:c r="K468" s="11" t="n">
        <x:f>F468/D468</x:f>
        <x:v>0.17834394904458598</x:v>
      </x:c>
      <x:c r="L468" s="13" t="n">
        <x:f>I468/D468</x:f>
        <x:v>12.54140127388535</x:v>
      </x:c>
      <x:c r="M468" s="6" t="str">
        <x:v>Included</x:v>
      </x:c>
    </x:row>
    <x:row r="469" ht="23" customHeight="1">
      <x:c r="B469" s="12" t="str">
        <x:v>7577</x:v>
      </x:c>
      <x:c r="C469" s="6" t="str">
        <x:v>Oak St / Sumach St</x:v>
      </x:c>
      <x:c r="D469" s="6" t="n">
        <x:v>793</x:v>
      </x:c>
      <x:c r="E469" s="6" t="n">
        <x:v>618</x:v>
      </x:c>
      <x:c r="F469" s="6" t="n">
        <x:v>175</x:v>
      </x:c>
      <x:c r="G469" s="6" t="n">
        <x:v>11</x:v>
      </x:c>
      <x:c r="H469" s="6" t="n">
        <x:v>114</x:v>
      </x:c>
      <x:c r="I469" s="6" t="n">
        <x:v>11350</x:v>
      </x:c>
      <x:c r="J469" s="11" t="n">
        <x:f>E469/D469</x:f>
        <x:v>0.7793190416141236</x:v>
      </x:c>
      <x:c r="K469" s="11" t="n">
        <x:f>F469/D469</x:f>
        <x:v>0.22068095838587642</x:v>
      </x:c>
      <x:c r="L469" s="13" t="n">
        <x:f>I469/D469</x:f>
        <x:v>14.312736443883985</x:v>
      </x:c>
      <x:c r="M469" s="6" t="str">
        <x:v>Included</x:v>
      </x:c>
    </x:row>
    <x:row r="470" ht="23" customHeight="1">
      <x:c r="B470" s="12" t="str">
        <x:v>7578</x:v>
      </x:c>
      <x:c r="C470" s="6" t="str">
        <x:v>Oak St / Parliament St</x:v>
      </x:c>
      <x:c r="D470" s="6" t="n">
        <x:v>784</x:v>
      </x:c>
      <x:c r="E470" s="6" t="n">
        <x:v>646</x:v>
      </x:c>
      <x:c r="F470" s="6" t="n">
        <x:v>138</x:v>
      </x:c>
      <x:c r="G470" s="6" t="n">
        <x:v>11</x:v>
      </x:c>
      <x:c r="H470" s="6" t="n">
        <x:v>115</x:v>
      </x:c>
      <x:c r="I470" s="6" t="n">
        <x:v>4143</x:v>
      </x:c>
      <x:c r="J470" s="11" t="n">
        <x:f>E470/D470</x:f>
        <x:v>0.8239795918367347</x:v>
      </x:c>
      <x:c r="K470" s="11" t="n">
        <x:f>F470/D470</x:f>
        <x:v>0.1760204081632653</x:v>
      </x:c>
      <x:c r="L470" s="13" t="n">
        <x:f>I470/D470</x:f>
        <x:v>5.284438775510204</x:v>
      </x:c>
      <x:c r="M470" s="6" t="str">
        <x:v>Included</x:v>
      </x:c>
    </x:row>
    <x:row r="471" ht="23" customHeight="1">
      <x:c r="B471" s="12" t="str">
        <x:v>7579</x:v>
      </x:c>
      <x:c r="C471" s="6" t="str">
        <x:v>Glebe Rd W / Yonge St</x:v>
      </x:c>
      <x:c r="D471" s="6" t="n">
        <x:v>792</x:v>
      </x:c>
      <x:c r="E471" s="6" t="n">
        <x:v>792</x:v>
      </x:c>
      <x:c r="F471" s="6" t="n">
        <x:v>0</x:v>
      </x:c>
      <x:c r="G471" s="6" t="n">
        <x:v>11</x:v>
      </x:c>
      <x:c r="H471" s="6" t="n">
        <x:v>115</x:v>
      </x:c>
      <x:c r="I471" s="6" t="n">
        <x:v>11090</x:v>
      </x:c>
      <x:c r="J471" s="11" t="n">
        <x:f>E471/D471</x:f>
        <x:v>1</x:v>
      </x:c>
      <x:c r="K471" s="11" t="n">
        <x:f>F471/D471</x:f>
        <x:v>0</x:v>
      </x:c>
      <x:c r="L471" s="13" t="n">
        <x:f>I471/D471</x:f>
        <x:v>14.002525252525253</x:v>
      </x:c>
      <x:c r="M471" s="6" t="str">
        <x:v>Included</x:v>
      </x:c>
    </x:row>
    <x:row r="472" ht="23" customHeight="1">
      <x:c r="B472" s="12" t="str">
        <x:v>7580</x:v>
      </x:c>
      <x:c r="C472" s="6" t="str">
        <x:v>Hillsdale Ave W / Yonge St</x:v>
      </x:c>
      <x:c r="D472" s="6" t="n">
        <x:v>793</x:v>
      </x:c>
      <x:c r="E472" s="6" t="n">
        <x:v>793</x:v>
      </x:c>
      <x:c r="F472" s="6" t="n">
        <x:v>0</x:v>
      </x:c>
      <x:c r="G472" s="6" t="n">
        <x:v>11</x:v>
      </x:c>
      <x:c r="H472" s="6" t="n">
        <x:v>114</x:v>
      </x:c>
      <x:c r="I472" s="6" t="n">
        <x:v>9163</x:v>
      </x:c>
      <x:c r="J472" s="11" t="n">
        <x:f>E472/D472</x:f>
        <x:v>1</x:v>
      </x:c>
      <x:c r="K472" s="11" t="n">
        <x:f>F472/D472</x:f>
        <x:v>0</x:v>
      </x:c>
      <x:c r="L472" s="13" t="n">
        <x:f>I472/D472</x:f>
        <x:v>11.554854981084489</x:v>
      </x:c>
      <x:c r="M472" s="6" t="str">
        <x:v>Included</x:v>
      </x:c>
    </x:row>
    <x:row r="473" ht="23" customHeight="1">
      <x:c r="B473" s="12" t="str">
        <x:v>7581</x:v>
      </x:c>
      <x:c r="C473" s="6" t="str">
        <x:v>High Park Ave / Dundas St W</x:v>
      </x:c>
      <x:c r="D473" s="6" t="n">
        <x:v>792</x:v>
      </x:c>
      <x:c r="E473" s="6" t="n">
        <x:v>787</x:v>
      </x:c>
      <x:c r="F473" s="6" t="n">
        <x:v>5</x:v>
      </x:c>
      <x:c r="G473" s="6" t="n">
        <x:v>11</x:v>
      </x:c>
      <x:c r="H473" s="6" t="n">
        <x:v>114</x:v>
      </x:c>
      <x:c r="I473" s="6" t="n">
        <x:v>6675</x:v>
      </x:c>
      <x:c r="J473" s="11" t="n">
        <x:f>E473/D473</x:f>
        <x:v>0.9936868686868687</x:v>
      </x:c>
      <x:c r="K473" s="11" t="n">
        <x:f>F473/D473</x:f>
        <x:v>0.006313131313131313</x:v>
      </x:c>
      <x:c r="L473" s="13" t="n">
        <x:f>I473/D473</x:f>
        <x:v>8.428030303030303</x:v>
      </x:c>
      <x:c r="M473" s="6" t="str">
        <x:v>Included</x:v>
      </x:c>
    </x:row>
    <x:row r="474" ht="23" customHeight="1">
      <x:c r="B474" s="12" t="str">
        <x:v>7582</x:v>
      </x:c>
      <x:c r="C474" s="6" t="str">
        <x:v>Alameda Ave / Vaughan Rd - SMART</x:v>
      </x:c>
      <x:c r="D474" s="6" t="n">
        <x:v>793</x:v>
      </x:c>
      <x:c r="E474" s="6" t="n">
        <x:v>793</x:v>
      </x:c>
      <x:c r="F474" s="6" t="n">
        <x:v>0</x:v>
      </x:c>
      <x:c r="G474" s="6" t="n">
        <x:v>11</x:v>
      </x:c>
      <x:c r="H474" s="6" t="n">
        <x:v>115</x:v>
      </x:c>
      <x:c r="I474" s="6" t="n">
        <x:v>11857</x:v>
      </x:c>
      <x:c r="J474" s="11" t="n">
        <x:f>E474/D474</x:f>
        <x:v>1</x:v>
      </x:c>
      <x:c r="K474" s="11" t="n">
        <x:f>F474/D474</x:f>
        <x:v>0</x:v>
      </x:c>
      <x:c r="L474" s="13" t="n">
        <x:f>I474/D474</x:f>
        <x:v>14.952080706179068</x:v>
      </x:c>
      <x:c r="M474" s="6" t="str">
        <x:v>Included</x:v>
      </x:c>
    </x:row>
    <x:row r="475" ht="23" customHeight="1">
      <x:c r="B475" s="12" t="str">
        <x:v>7583</x:v>
      </x:c>
      <x:c r="C475" s="6" t="str">
        <x:v>Eglinton Ave W / Scarlett Rd</x:v>
      </x:c>
      <x:c r="D475" s="6" t="n">
        <x:v>795</x:v>
      </x:c>
      <x:c r="E475" s="6" t="n">
        <x:v>795</x:v>
      </x:c>
      <x:c r="F475" s="6" t="n">
        <x:v>0</x:v>
      </x:c>
      <x:c r="G475" s="6" t="n">
        <x:v>11</x:v>
      </x:c>
      <x:c r="H475" s="6" t="n">
        <x:v>115</x:v>
      </x:c>
      <x:c r="I475" s="6" t="n">
        <x:v>15236</x:v>
      </x:c>
      <x:c r="J475" s="11" t="n">
        <x:f>E475/D475</x:f>
        <x:v>1</x:v>
      </x:c>
      <x:c r="K475" s="11" t="n">
        <x:f>F475/D475</x:f>
        <x:v>0</x:v>
      </x:c>
      <x:c r="L475" s="13" t="n">
        <x:f>I475/D475</x:f>
        <x:v>19.164779874213835</x:v>
      </x:c>
      <x:c r="M475" s="6" t="str">
        <x:v>Included</x:v>
      </x:c>
    </x:row>
    <x:row r="476" ht="23" customHeight="1">
      <x:c r="B476" s="12" t="str">
        <x:v>7584</x:v>
      </x:c>
      <x:c r="C476" s="6" t="str">
        <x:v>The Pond Rd / Sentinel Rd</x:v>
      </x:c>
      <x:c r="D476" s="6" t="n">
        <x:v>789</x:v>
      </x:c>
      <x:c r="E476" s="6" t="n">
        <x:v>789</x:v>
      </x:c>
      <x:c r="F476" s="6" t="n">
        <x:v>0</x:v>
      </x:c>
      <x:c r="G476" s="6" t="n">
        <x:v>11</x:v>
      </x:c>
      <x:c r="H476" s="6" t="n">
        <x:v>114</x:v>
      </x:c>
      <x:c r="I476" s="6" t="n">
        <x:v>17934</x:v>
      </x:c>
      <x:c r="J476" s="11" t="n">
        <x:f>E476/D476</x:f>
        <x:v>1</x:v>
      </x:c>
      <x:c r="K476" s="11" t="n">
        <x:f>F476/D476</x:f>
        <x:v>0</x:v>
      </x:c>
      <x:c r="L476" s="13" t="n">
        <x:f>I476/D476</x:f>
        <x:v>22.730038022813687</x:v>
      </x:c>
      <x:c r="M476" s="6" t="str">
        <x:v>Included</x:v>
      </x:c>
    </x:row>
    <x:row r="477" ht="23" customHeight="1">
      <x:c r="B477" s="12" t="str">
        <x:v>7587</x:v>
      </x:c>
      <x:c r="C477" s="6" t="str">
        <x:v>Dufferin St / Finch Corridor Trail</x:v>
      </x:c>
      <x:c r="D477" s="6" t="n">
        <x:v>786</x:v>
      </x:c>
      <x:c r="E477" s="6" t="n">
        <x:v>786</x:v>
      </x:c>
      <x:c r="F477" s="6" t="n">
        <x:v>0</x:v>
      </x:c>
      <x:c r="G477" s="6" t="n">
        <x:v>11</x:v>
      </x:c>
      <x:c r="H477" s="6" t="n">
        <x:v>115</x:v>
      </x:c>
      <x:c r="I477" s="6" t="n">
        <x:v>12828</x:v>
      </x:c>
      <x:c r="J477" s="11" t="n">
        <x:f>E477/D477</x:f>
        <x:v>1</x:v>
      </x:c>
      <x:c r="K477" s="11" t="n">
        <x:f>F477/D477</x:f>
        <x:v>0</x:v>
      </x:c>
      <x:c r="L477" s="13" t="n">
        <x:f>I477/D477</x:f>
        <x:v>16.3206106870229</x:v>
      </x:c>
      <x:c r="M477" s="6" t="str">
        <x:v>Included</x:v>
      </x:c>
    </x:row>
    <x:row r="478" ht="23" customHeight="1">
      <x:c r="B478" s="12" t="str">
        <x:v>7588</x:v>
      </x:c>
      <x:c r="C478" s="6" t="str">
        <x:v>G Ross Lord Park</x:v>
      </x:c>
      <x:c r="D478" s="6" t="n">
        <x:v>786</x:v>
      </x:c>
      <x:c r="E478" s="6" t="n">
        <x:v>786</x:v>
      </x:c>
      <x:c r="F478" s="6" t="n">
        <x:v>0</x:v>
      </x:c>
      <x:c r="G478" s="6" t="n">
        <x:v>11</x:v>
      </x:c>
      <x:c r="H478" s="6" t="n">
        <x:v>114</x:v>
      </x:c>
      <x:c r="I478" s="6" t="n">
        <x:v>12442</x:v>
      </x:c>
      <x:c r="J478" s="11" t="n">
        <x:f>E478/D478</x:f>
        <x:v>1</x:v>
      </x:c>
      <x:c r="K478" s="11" t="n">
        <x:f>F478/D478</x:f>
        <x:v>0</x:v>
      </x:c>
      <x:c r="L478" s="13" t="n">
        <x:f>I478/D478</x:f>
        <x:v>15.829516539440204</x:v>
      </x:c>
      <x:c r="M478" s="6" t="str">
        <x:v>Included</x:v>
      </x:c>
    </x:row>
    <x:row r="479" ht="23" customHeight="1">
      <x:c r="B479" s="12" t="str">
        <x:v>7589</x:v>
      </x:c>
      <x:c r="C479" s="6" t="str">
        <x:v>Torresdale Ave / Antibes Dr</x:v>
      </x:c>
      <x:c r="D479" s="6" t="n">
        <x:v>783</x:v>
      </x:c>
      <x:c r="E479" s="6" t="n">
        <x:v>783</x:v>
      </x:c>
      <x:c r="F479" s="6" t="n">
        <x:v>0</x:v>
      </x:c>
      <x:c r="G479" s="6" t="n">
        <x:v>11</x:v>
      </x:c>
      <x:c r="H479" s="6" t="n">
        <x:v>114</x:v>
      </x:c>
      <x:c r="I479" s="6" t="n">
        <x:v>8139</x:v>
      </x:c>
      <x:c r="J479" s="11" t="n">
        <x:f>E479/D479</x:f>
        <x:v>1</x:v>
      </x:c>
      <x:c r="K479" s="11" t="n">
        <x:f>F479/D479</x:f>
        <x:v>0</x:v>
      </x:c>
      <x:c r="L479" s="13" t="n">
        <x:f>I479/D479</x:f>
        <x:v>10.39463601532567</x:v>
      </x:c>
      <x:c r="M479" s="6" t="str">
        <x:v>Included</x:v>
      </x:c>
    </x:row>
    <x:row r="480" ht="23" customHeight="1">
      <x:c r="B480" s="12" t="str">
        <x:v>7590</x:v>
      </x:c>
      <x:c r="C480" s="6" t="str">
        <x:v>Esther Shiner Stadium</x:v>
      </x:c>
      <x:c r="D480" s="6" t="n">
        <x:v>791</x:v>
      </x:c>
      <x:c r="E480" s="6" t="n">
        <x:v>791</x:v>
      </x:c>
      <x:c r="F480" s="6" t="n">
        <x:v>0</x:v>
      </x:c>
      <x:c r="G480" s="6" t="n">
        <x:v>11</x:v>
      </x:c>
      <x:c r="H480" s="6" t="n">
        <x:v>116</x:v>
      </x:c>
      <x:c r="I480" s="6" t="n">
        <x:v>16687</x:v>
      </x:c>
      <x:c r="J480" s="11" t="n">
        <x:f>E480/D480</x:f>
        <x:v>1</x:v>
      </x:c>
      <x:c r="K480" s="11" t="n">
        <x:f>F480/D480</x:f>
        <x:v>0</x:v>
      </x:c>
      <x:c r="L480" s="13" t="n">
        <x:f>I480/D480</x:f>
        <x:v>21.096080910240204</x:v>
      </x:c>
      <x:c r="M480" s="6" t="str">
        <x:v>Included</x:v>
      </x:c>
    </x:row>
    <x:row r="481" ht="23" customHeight="1">
      <x:c r="B481" s="12" t="str">
        <x:v>7591</x:v>
      </x:c>
      <x:c r="C481" s="6" t="str">
        <x:v>Elwood Blvd / Avenue Rd</x:v>
      </x:c>
      <x:c r="D481" s="6" t="n">
        <x:v>794</x:v>
      </x:c>
      <x:c r="E481" s="6" t="n">
        <x:v>794</x:v>
      </x:c>
      <x:c r="F481" s="6" t="n">
        <x:v>0</x:v>
      </x:c>
      <x:c r="G481" s="6" t="n">
        <x:v>11</x:v>
      </x:c>
      <x:c r="H481" s="6" t="n">
        <x:v>114</x:v>
      </x:c>
      <x:c r="I481" s="6" t="n">
        <x:v>16682</x:v>
      </x:c>
      <x:c r="J481" s="11" t="n">
        <x:f>E481/D481</x:f>
        <x:v>1</x:v>
      </x:c>
      <x:c r="K481" s="11" t="n">
        <x:f>F481/D481</x:f>
        <x:v>0</x:v>
      </x:c>
      <x:c r="L481" s="13" t="n">
        <x:f>I481/D481</x:f>
        <x:v>21.01007556675063</x:v>
      </x:c>
      <x:c r="M481" s="6" t="str">
        <x:v>Included</x:v>
      </x:c>
    </x:row>
    <x:row r="482" ht="23" customHeight="1">
      <x:c r="B482" s="12" t="str">
        <x:v>7592</x:v>
      </x:c>
      <x:c r="C482" s="6" t="str">
        <x:v>Eglinton Ave E / Forman Ave</x:v>
      </x:c>
      <x:c r="D482" s="6" t="n">
        <x:v>238</x:v>
      </x:c>
      <x:c r="E482" s="6" t="n">
        <x:v>238</x:v>
      </x:c>
      <x:c r="F482" s="6" t="n">
        <x:v>0</x:v>
      </x:c>
      <x:c r="G482" s="6" t="n">
        <x:v>4</x:v>
      </x:c>
      <x:c r="H482" s="6" t="n">
        <x:v>50</x:v>
      </x:c>
      <x:c r="I482" s="6" t="n">
        <x:v>3131</x:v>
      </x:c>
      <x:c r="J482" s="11" t="n">
        <x:f>E482/D482</x:f>
        <x:v>1</x:v>
      </x:c>
      <x:c r="K482" s="11" t="n">
        <x:f>F482/D482</x:f>
        <x:v>0</x:v>
      </x:c>
      <x:c r="L482" s="13" t="n">
        <x:f>I482/D482</x:f>
        <x:v>13.155462184873949</x:v>
      </x:c>
      <x:c r="M482" s="6" t="str">
        <x:v>Low support</x:v>
      </x:c>
    </x:row>
    <x:row r="483" ht="23" customHeight="1">
      <x:c r="B483" s="12" t="str">
        <x:v>7593</x:v>
      </x:c>
      <x:c r="C483" s="6" t="str">
        <x:v>Roehampton Ave / Bayview Ave</x:v>
      </x:c>
      <x:c r="D483" s="6" t="n">
        <x:v>786</x:v>
      </x:c>
      <x:c r="E483" s="6" t="n">
        <x:v>786</x:v>
      </x:c>
      <x:c r="F483" s="6" t="n">
        <x:v>0</x:v>
      </x:c>
      <x:c r="G483" s="6" t="n">
        <x:v>11</x:v>
      </x:c>
      <x:c r="H483" s="6" t="n">
        <x:v>114</x:v>
      </x:c>
      <x:c r="I483" s="6" t="n">
        <x:v>17482</x:v>
      </x:c>
      <x:c r="J483" s="11" t="n">
        <x:f>E483/D483</x:f>
        <x:v>1</x:v>
      </x:c>
      <x:c r="K483" s="11" t="n">
        <x:f>F483/D483</x:f>
        <x:v>0</x:v>
      </x:c>
      <x:c r="L483" s="13" t="n">
        <x:f>I483/D483</x:f>
        <x:v>22.24173027989822</x:v>
      </x:c>
      <x:c r="M483" s="6" t="str">
        <x:v>Included</x:v>
      </x:c>
    </x:row>
    <x:row r="484" ht="23" customHeight="1">
      <x:c r="B484" s="12" t="str">
        <x:v>7594</x:v>
      </x:c>
      <x:c r="C484" s="6" t="str">
        <x:v>Fleming Cres / Bayview Ave</x:v>
      </x:c>
      <x:c r="D484" s="6" t="n">
        <x:v>787</x:v>
      </x:c>
      <x:c r="E484" s="6" t="n">
        <x:v>787</x:v>
      </x:c>
      <x:c r="F484" s="6" t="n">
        <x:v>0</x:v>
      </x:c>
      <x:c r="G484" s="6" t="n">
        <x:v>11</x:v>
      </x:c>
      <x:c r="H484" s="6" t="n">
        <x:v>114</x:v>
      </x:c>
      <x:c r="I484" s="6" t="n">
        <x:v>8515</x:v>
      </x:c>
      <x:c r="J484" s="11" t="n">
        <x:f>E484/D484</x:f>
        <x:v>1</x:v>
      </x:c>
      <x:c r="K484" s="11" t="n">
        <x:f>F484/D484</x:f>
        <x:v>0</x:v>
      </x:c>
      <x:c r="L484" s="13" t="n">
        <x:f>I484/D484</x:f>
        <x:v>10.819567979669632</x:v>
      </x:c>
      <x:c r="M484" s="6" t="str">
        <x:v>Included</x:v>
      </x:c>
    </x:row>
    <x:row r="485" ht="23" customHeight="1">
      <x:c r="B485" s="12" t="str">
        <x:v>7595</x:v>
      </x:c>
      <x:c r="C485" s="6" t="str">
        <x:v>Moore Park</x:v>
      </x:c>
      <x:c r="D485" s="6" t="n">
        <x:v>784</x:v>
      </x:c>
      <x:c r="E485" s="6" t="n">
        <x:v>784</x:v>
      </x:c>
      <x:c r="F485" s="6" t="n">
        <x:v>0</x:v>
      </x:c>
      <x:c r="G485" s="6" t="n">
        <x:v>11</x:v>
      </x:c>
      <x:c r="H485" s="6" t="n">
        <x:v>114</x:v>
      </x:c>
      <x:c r="I485" s="6" t="n">
        <x:v>8105</x:v>
      </x:c>
      <x:c r="J485" s="11" t="n">
        <x:f>E485/D485</x:f>
        <x:v>1</x:v>
      </x:c>
      <x:c r="K485" s="11" t="n">
        <x:f>F485/D485</x:f>
        <x:v>0</x:v>
      </x:c>
      <x:c r="L485" s="13" t="n">
        <x:f>I485/D485</x:f>
        <x:v>10.338010204081632</x:v>
      </x:c>
      <x:c r="M485" s="6" t="str">
        <x:v>Included</x:v>
      </x:c>
    </x:row>
    <x:row r="486" ht="23" customHeight="1">
      <x:c r="B486" s="12" t="str">
        <x:v>7596</x:v>
      </x:c>
      <x:c r="C486" s="6" t="str">
        <x:v>Langford Ave / Danforth Ave - SMART</x:v>
      </x:c>
      <x:c r="D486" s="6" t="n">
        <x:v>781</x:v>
      </x:c>
      <x:c r="E486" s="6" t="n">
        <x:v>781</x:v>
      </x:c>
      <x:c r="F486" s="6" t="n">
        <x:v>0</x:v>
      </x:c>
      <x:c r="G486" s="6" t="n">
        <x:v>11</x:v>
      </x:c>
      <x:c r="H486" s="6" t="n">
        <x:v>115</x:v>
      </x:c>
      <x:c r="I486" s="6" t="n">
        <x:v>19593</x:v>
      </x:c>
      <x:c r="J486" s="11" t="n">
        <x:f>E486/D486</x:f>
        <x:v>1</x:v>
      </x:c>
      <x:c r="K486" s="11" t="n">
        <x:f>F486/D486</x:f>
        <x:v>0</x:v>
      </x:c>
      <x:c r="L486" s="13" t="n">
        <x:f>I486/D486</x:f>
        <x:v>25.08706786171575</x:v>
      </x:c>
      <x:c r="M486" s="6" t="str">
        <x:v>Included</x:v>
      </x:c>
    </x:row>
    <x:row r="487" ht="23" customHeight="1">
      <x:c r="B487" s="12" t="str">
        <x:v>7597</x:v>
      </x:c>
      <x:c r="C487" s="6" t="str">
        <x:v>Yonge St / Golfdale Rd</x:v>
      </x:c>
      <x:c r="D487" s="6" t="n">
        <x:v>787</x:v>
      </x:c>
      <x:c r="E487" s="6" t="n">
        <x:v>787</x:v>
      </x:c>
      <x:c r="F487" s="6" t="n">
        <x:v>0</x:v>
      </x:c>
      <x:c r="G487" s="6" t="n">
        <x:v>11</x:v>
      </x:c>
      <x:c r="H487" s="6" t="n">
        <x:v>114</x:v>
      </x:c>
      <x:c r="I487" s="6" t="n">
        <x:v>11018</x:v>
      </x:c>
      <x:c r="J487" s="11" t="n">
        <x:f>E487/D487</x:f>
        <x:v>1</x:v>
      </x:c>
      <x:c r="K487" s="11" t="n">
        <x:f>F487/D487</x:f>
        <x:v>0</x:v>
      </x:c>
      <x:c r="L487" s="13" t="n">
        <x:f>I487/D487</x:f>
        <x:v>14</x:v>
      </x:c>
      <x:c r="M487" s="6" t="str">
        <x:v>Included</x:v>
      </x:c>
    </x:row>
    <x:row r="488" ht="23" customHeight="1">
      <x:c r="B488" s="12" t="str">
        <x:v>7598</x:v>
      </x:c>
      <x:c r="C488" s="6" t="str">
        <x:v>Teddington Park Ave</x:v>
      </x:c>
      <x:c r="D488" s="6" t="n">
        <x:v>786</x:v>
      </x:c>
      <x:c r="E488" s="6" t="n">
        <x:v>786</x:v>
      </x:c>
      <x:c r="F488" s="6" t="n">
        <x:v>0</x:v>
      </x:c>
      <x:c r="G488" s="6" t="n">
        <x:v>11</x:v>
      </x:c>
      <x:c r="H488" s="6" t="n">
        <x:v>114</x:v>
      </x:c>
      <x:c r="I488" s="6" t="n">
        <x:v>9309</x:v>
      </x:c>
      <x:c r="J488" s="11" t="n">
        <x:f>E488/D488</x:f>
        <x:v>1</x:v>
      </x:c>
      <x:c r="K488" s="11" t="n">
        <x:f>F488/D488</x:f>
        <x:v>0</x:v>
      </x:c>
      <x:c r="L488" s="13" t="n">
        <x:f>I488/D488</x:f>
        <x:v>11.84351145038168</x:v>
      </x:c>
      <x:c r="M488" s="6" t="str">
        <x:v>Included</x:v>
      </x:c>
    </x:row>
    <x:row r="489" ht="23" customHeight="1">
      <x:c r="B489" s="12" t="str">
        <x:v>7599</x:v>
      </x:c>
      <x:c r="C489" s="6" t="str">
        <x:v>Richmond St W / York St</x:v>
      </x:c>
      <x:c r="D489" s="6" t="n">
        <x:v>791</x:v>
      </x:c>
      <x:c r="E489" s="6" t="n">
        <x:v>750</x:v>
      </x:c>
      <x:c r="F489" s="6" t="n">
        <x:v>41</x:v>
      </x:c>
      <x:c r="G489" s="6" t="n">
        <x:v>11</x:v>
      </x:c>
      <x:c r="H489" s="6" t="n">
        <x:v>115</x:v>
      </x:c>
      <x:c r="I489" s="6" t="n">
        <x:v>8367</x:v>
      </x:c>
      <x:c r="J489" s="11" t="n">
        <x:f>E489/D489</x:f>
        <x:v>0.9481668773704172</x:v>
      </x:c>
      <x:c r="K489" s="11" t="n">
        <x:f>F489/D489</x:f>
        <x:v>0.051833122629582805</x:v>
      </x:c>
      <x:c r="L489" s="13" t="n">
        <x:f>I489/D489</x:f>
        <x:v>10.577749683944374</x:v>
      </x:c>
      <x:c r="M489" s="6" t="str">
        <x:v>Included</x:v>
      </x:c>
    </x:row>
    <x:row r="490" ht="23" customHeight="1">
      <x:c r="B490" s="12" t="str">
        <x:v>7600</x:v>
      </x:c>
      <x:c r="C490" s="6" t="str">
        <x:v>Ursula Franklin St / Huron St - SMART</x:v>
      </x:c>
      <x:c r="D490" s="6" t="n">
        <x:v>789</x:v>
      </x:c>
      <x:c r="E490" s="6" t="n">
        <x:v>735</x:v>
      </x:c>
      <x:c r="F490" s="6" t="n">
        <x:v>54</x:v>
      </x:c>
      <x:c r="G490" s="6" t="n">
        <x:v>11</x:v>
      </x:c>
      <x:c r="H490" s="6" t="n">
        <x:v>114</x:v>
      </x:c>
      <x:c r="I490" s="6" t="n">
        <x:v>10563</x:v>
      </x:c>
      <x:c r="J490" s="11" t="n">
        <x:f>E490/D490</x:f>
        <x:v>0.9315589353612167</x:v>
      </x:c>
      <x:c r="K490" s="11" t="n">
        <x:f>F490/D490</x:f>
        <x:v>0.06844106463878327</x:v>
      </x:c>
      <x:c r="L490" s="13" t="n">
        <x:f>I490/D490</x:f>
        <x:v>13.387832699619771</x:v>
      </x:c>
      <x:c r="M490" s="6" t="str">
        <x:v>Included</x:v>
      </x:c>
    </x:row>
    <x:row r="491" ht="23" customHeight="1">
      <x:c r="B491" s="12" t="str">
        <x:v>7601</x:v>
      </x:c>
      <x:c r="C491" s="6" t="str">
        <x:v>Brick Works</x:v>
      </x:c>
      <x:c r="D491" s="6" t="n">
        <x:v>790</x:v>
      </x:c>
      <x:c r="E491" s="6" t="n">
        <x:v>789</x:v>
      </x:c>
      <x:c r="F491" s="6" t="n">
        <x:v>1</x:v>
      </x:c>
      <x:c r="G491" s="6" t="n">
        <x:v>11</x:v>
      </x:c>
      <x:c r="H491" s="6" t="n">
        <x:v>114</x:v>
      </x:c>
      <x:c r="I491" s="6" t="n">
        <x:v>11364</x:v>
      </x:c>
      <x:c r="J491" s="11" t="n">
        <x:f>E491/D491</x:f>
        <x:v>0.9987341772151899</x:v>
      </x:c>
      <x:c r="K491" s="11" t="n">
        <x:f>F491/D491</x:f>
        <x:v>0.0012658227848101266</x:v>
      </x:c>
      <x:c r="L491" s="13" t="n">
        <x:f>I491/D491</x:f>
        <x:v>14.384810126582279</x:v>
      </x:c>
      <x:c r="M491" s="6" t="str">
        <x:v>Included</x:v>
      </x:c>
    </x:row>
    <x:row r="492" ht="23" customHeight="1">
      <x:c r="B492" s="12" t="str">
        <x:v>7602</x:v>
      </x:c>
      <x:c r="C492" s="6" t="str">
        <x:v>Woodbine Ave / O'Connor Dr</x:v>
      </x:c>
      <x:c r="D492" s="6" t="n">
        <x:v>785</x:v>
      </x:c>
      <x:c r="E492" s="6" t="n">
        <x:v>785</x:v>
      </x:c>
      <x:c r="F492" s="6" t="n">
        <x:v>0</x:v>
      </x:c>
      <x:c r="G492" s="6" t="n">
        <x:v>11</x:v>
      </x:c>
      <x:c r="H492" s="6" t="n">
        <x:v>114</x:v>
      </x:c>
      <x:c r="I492" s="6" t="n">
        <x:v>11369</x:v>
      </x:c>
      <x:c r="J492" s="11" t="n">
        <x:f>E492/D492</x:f>
        <x:v>1</x:v>
      </x:c>
      <x:c r="K492" s="11" t="n">
        <x:f>F492/D492</x:f>
        <x:v>0</x:v>
      </x:c>
      <x:c r="L492" s="13" t="n">
        <x:f>I492/D492</x:f>
        <x:v>14.482802547770701</x:v>
      </x:c>
      <x:c r="M492" s="6" t="str">
        <x:v>Included</x:v>
      </x:c>
    </x:row>
    <x:row r="493" ht="23" customHeight="1">
      <x:c r="B493" s="12" t="str">
        <x:v>7603</x:v>
      </x:c>
      <x:c r="C493" s="6" t="str">
        <x:v>O'Connor Dr / Curity Ave</x:v>
      </x:c>
      <x:c r="D493" s="6" t="n">
        <x:v>788</x:v>
      </x:c>
      <x:c r="E493" s="6" t="n">
        <x:v>788</x:v>
      </x:c>
      <x:c r="F493" s="6" t="n">
        <x:v>0</x:v>
      </x:c>
      <x:c r="G493" s="6" t="n">
        <x:v>11</x:v>
      </x:c>
      <x:c r="H493" s="6" t="n">
        <x:v>114</x:v>
      </x:c>
      <x:c r="I493" s="6" t="n">
        <x:v>9188</x:v>
      </x:c>
      <x:c r="J493" s="11" t="n">
        <x:f>E493/D493</x:f>
        <x:v>1</x:v>
      </x:c>
      <x:c r="K493" s="11" t="n">
        <x:f>F493/D493</x:f>
        <x:v>0</x:v>
      </x:c>
      <x:c r="L493" s="13" t="n">
        <x:f>I493/D493</x:f>
        <x:v>11.65989847715736</x:v>
      </x:c>
      <x:c r="M493" s="6" t="str">
        <x:v>Included</x:v>
      </x:c>
    </x:row>
    <x:row r="494" ht="23" customHeight="1">
      <x:c r="B494" s="12" t="str">
        <x:v>7604</x:v>
      </x:c>
      <x:c r="C494" s="6" t="str">
        <x:v>St. Columba Pl / St. Clair Ave E</x:v>
      </x:c>
      <x:c r="D494" s="6" t="n">
        <x:v>788</x:v>
      </x:c>
      <x:c r="E494" s="6" t="n">
        <x:v>788</x:v>
      </x:c>
      <x:c r="F494" s="6" t="n">
        <x:v>0</x:v>
      </x:c>
      <x:c r="G494" s="6" t="n">
        <x:v>11</x:v>
      </x:c>
      <x:c r="H494" s="6" t="n">
        <x:v>114</x:v>
      </x:c>
      <x:c r="I494" s="6" t="n">
        <x:v>12480</x:v>
      </x:c>
      <x:c r="J494" s="11" t="n">
        <x:f>E494/D494</x:f>
        <x:v>1</x:v>
      </x:c>
      <x:c r="K494" s="11" t="n">
        <x:f>F494/D494</x:f>
        <x:v>0</x:v>
      </x:c>
      <x:c r="L494" s="13" t="n">
        <x:f>I494/D494</x:f>
        <x:v>15.83756345177665</x:v>
      </x:c>
      <x:c r="M494" s="6" t="str">
        <x:v>Included</x:v>
      </x:c>
    </x:row>
    <x:row r="495" ht="23" customHeight="1">
      <x:c r="B495" s="12" t="str">
        <x:v>7605</x:v>
      </x:c>
      <x:c r="C495" s="6" t="str">
        <x:v>Lumsden Ave / Eastdale Ave</x:v>
      </x:c>
      <x:c r="D495" s="6" t="n">
        <x:v>782</x:v>
      </x:c>
      <x:c r="E495" s="6" t="n">
        <x:v>782</x:v>
      </x:c>
      <x:c r="F495" s="6" t="n">
        <x:v>0</x:v>
      </x:c>
      <x:c r="G495" s="6" t="n">
        <x:v>11</x:v>
      </x:c>
      <x:c r="H495" s="6" t="n">
        <x:v>114</x:v>
      </x:c>
      <x:c r="I495" s="6" t="n">
        <x:v>12158</x:v>
      </x:c>
      <x:c r="J495" s="11" t="n">
        <x:f>E495/D495</x:f>
        <x:v>1</x:v>
      </x:c>
      <x:c r="K495" s="11" t="n">
        <x:f>F495/D495</x:f>
        <x:v>0</x:v>
      </x:c>
      <x:c r="L495" s="13" t="n">
        <x:f>I495/D495</x:f>
        <x:v>15.547314578005116</x:v>
      </x:c>
      <x:c r="M495" s="6" t="str">
        <x:v>Included</x:v>
      </x:c>
    </x:row>
    <x:row r="496" ht="23" customHeight="1">
      <x:c r="B496" s="12" t="str">
        <x:v>7606</x:v>
      </x:c>
      <x:c r="C496" s="6" t="str">
        <x:v>Dawes Rd / Taylor Creek Trl</x:v>
      </x:c>
      <x:c r="D496" s="6" t="n">
        <x:v>786</x:v>
      </x:c>
      <x:c r="E496" s="6" t="n">
        <x:v>786</x:v>
      </x:c>
      <x:c r="F496" s="6" t="n">
        <x:v>0</x:v>
      </x:c>
      <x:c r="G496" s="6" t="n">
        <x:v>11</x:v>
      </x:c>
      <x:c r="H496" s="6" t="n">
        <x:v>114</x:v>
      </x:c>
      <x:c r="I496" s="6" t="n">
        <x:v>11481</x:v>
      </x:c>
      <x:c r="J496" s="11" t="n">
        <x:f>E496/D496</x:f>
        <x:v>1</x:v>
      </x:c>
      <x:c r="K496" s="11" t="n">
        <x:f>F496/D496</x:f>
        <x:v>0</x:v>
      </x:c>
      <x:c r="L496" s="13" t="n">
        <x:f>I496/D496</x:f>
        <x:v>14.606870229007633</x:v>
      </x:c>
      <x:c r="M496" s="6" t="str">
        <x:v>Included</x:v>
      </x:c>
    </x:row>
    <x:row r="497" ht="23" customHeight="1">
      <x:c r="B497" s="12" t="str">
        <x:v>7607</x:v>
      </x:c>
      <x:c r="C497" s="6" t="str">
        <x:v>Fairmount Park</x:v>
      </x:c>
      <x:c r="D497" s="6" t="n">
        <x:v>783</x:v>
      </x:c>
      <x:c r="E497" s="6" t="n">
        <x:v>783</x:v>
      </x:c>
      <x:c r="F497" s="6" t="n">
        <x:v>0</x:v>
      </x:c>
      <x:c r="G497" s="6" t="n">
        <x:v>11</x:v>
      </x:c>
      <x:c r="H497" s="6" t="n">
        <x:v>113</x:v>
      </x:c>
      <x:c r="I497" s="6" t="n">
        <x:v>5747</x:v>
      </x:c>
      <x:c r="J497" s="11" t="n">
        <x:f>E497/D497</x:f>
        <x:v>1</x:v>
      </x:c>
      <x:c r="K497" s="11" t="n">
        <x:f>F497/D497</x:f>
        <x:v>0</x:v>
      </x:c>
      <x:c r="L497" s="13" t="n">
        <x:f>I497/D497</x:f>
        <x:v>7.339719029374201</x:v>
      </x:c>
      <x:c r="M497" s="6" t="str">
        <x:v>Included</x:v>
      </x:c>
    </x:row>
    <x:row r="498" ht="23" customHeight="1">
      <x:c r="B498" s="12" t="str">
        <x:v>7608</x:v>
      </x:c>
      <x:c r="C498" s="6" t="str">
        <x:v>Wilket Creek Park</x:v>
      </x:c>
      <x:c r="D498" s="6" t="n">
        <x:v>788</x:v>
      </x:c>
      <x:c r="E498" s="6" t="n">
        <x:v>788</x:v>
      </x:c>
      <x:c r="F498" s="6" t="n">
        <x:v>0</x:v>
      </x:c>
      <x:c r="G498" s="6" t="n">
        <x:v>11</x:v>
      </x:c>
      <x:c r="H498" s="6" t="n">
        <x:v>115</x:v>
      </x:c>
      <x:c r="I498" s="6" t="n">
        <x:v>19708</x:v>
      </x:c>
      <x:c r="J498" s="11" t="n">
        <x:f>E498/D498</x:f>
        <x:v>1</x:v>
      </x:c>
      <x:c r="K498" s="11" t="n">
        <x:f>F498/D498</x:f>
        <x:v>0</x:v>
      </x:c>
      <x:c r="L498" s="13" t="n">
        <x:f>I498/D498</x:f>
        <x:v>25.01015228426396</x:v>
      </x:c>
      <x:c r="M498" s="6" t="str">
        <x:v>Included</x:v>
      </x:c>
    </x:row>
    <x:row r="499" ht="23" customHeight="1">
      <x:c r="B499" s="12" t="str">
        <x:v>7609</x:v>
      </x:c>
      <x:c r="C499" s="6" t="str">
        <x:v>Sunnybrook Park</x:v>
      </x:c>
      <x:c r="D499" s="6" t="n">
        <x:v>785</x:v>
      </x:c>
      <x:c r="E499" s="6" t="n">
        <x:v>785</x:v>
      </x:c>
      <x:c r="F499" s="6" t="n">
        <x:v>0</x:v>
      </x:c>
      <x:c r="G499" s="6" t="n">
        <x:v>11</x:v>
      </x:c>
      <x:c r="H499" s="6" t="n">
        <x:v>116</x:v>
      </x:c>
      <x:c r="I499" s="6" t="n">
        <x:v>19532</x:v>
      </x:c>
      <x:c r="J499" s="11" t="n">
        <x:f>E499/D499</x:f>
        <x:v>1</x:v>
      </x:c>
      <x:c r="K499" s="11" t="n">
        <x:f>F499/D499</x:f>
        <x:v>0</x:v>
      </x:c>
      <x:c r="L499" s="13" t="n">
        <x:f>I499/D499</x:f>
        <x:v>24.881528662420383</x:v>
      </x:c>
      <x:c r="M499" s="6" t="str">
        <x:v>Included</x:v>
      </x:c>
    </x:row>
    <x:row r="500" ht="23" customHeight="1">
      <x:c r="B500" s="12" t="str">
        <x:v>7610</x:v>
      </x:c>
      <x:c r="C500" s="6" t="str">
        <x:v>Kingston Rd / Beech Ave</x:v>
      </x:c>
      <x:c r="D500" s="6" t="n">
        <x:v>783</x:v>
      </x:c>
      <x:c r="E500" s="6" t="n">
        <x:v>783</x:v>
      </x:c>
      <x:c r="F500" s="6" t="n">
        <x:v>0</x:v>
      </x:c>
      <x:c r="G500" s="6" t="n">
        <x:v>11</x:v>
      </x:c>
      <x:c r="H500" s="6" t="n">
        <x:v>115</x:v>
      </x:c>
      <x:c r="I500" s="6" t="n">
        <x:v>8488</x:v>
      </x:c>
      <x:c r="J500" s="11" t="n">
        <x:f>E500/D500</x:f>
        <x:v>1</x:v>
      </x:c>
      <x:c r="K500" s="11" t="n">
        <x:f>F500/D500</x:f>
        <x:v>0</x:v>
      </x:c>
      <x:c r="L500" s="13" t="n">
        <x:f>I500/D500</x:f>
        <x:v>10.840357598978288</x:v>
      </x:c>
      <x:c r="M500" s="6" t="str">
        <x:v>Included</x:v>
      </x:c>
    </x:row>
    <x:row r="501" ht="23" customHeight="1">
      <x:c r="B501" s="12" t="str">
        <x:v>7611</x:v>
      </x:c>
      <x:c r="C501" s="6" t="str">
        <x:v>Victoria Park Ave / Danforth Ave</x:v>
      </x:c>
      <x:c r="D501" s="6" t="n">
        <x:v>786</x:v>
      </x:c>
      <x:c r="E501" s="6" t="n">
        <x:v>786</x:v>
      </x:c>
      <x:c r="F501" s="6" t="n">
        <x:v>0</x:v>
      </x:c>
      <x:c r="G501" s="6" t="n">
        <x:v>11</x:v>
      </x:c>
      <x:c r="H501" s="6" t="n">
        <x:v>114</x:v>
      </x:c>
      <x:c r="I501" s="6" t="n">
        <x:v>10943</x:v>
      </x:c>
      <x:c r="J501" s="11" t="n">
        <x:f>E501/D501</x:f>
        <x:v>1</x:v>
      </x:c>
      <x:c r="K501" s="11" t="n">
        <x:f>F501/D501</x:f>
        <x:v>0</x:v>
      </x:c>
      <x:c r="L501" s="13" t="n">
        <x:f>I501/D501</x:f>
        <x:v>13.922391857506362</x:v>
      </x:c>
      <x:c r="M501" s="6" t="str">
        <x:v>Included</x:v>
      </x:c>
    </x:row>
    <x:row r="502" ht="23" customHeight="1">
      <x:c r="B502" s="12" t="str">
        <x:v>7612</x:v>
      </x:c>
      <x:c r="C502" s="6" t="str">
        <x:v>Livingston Rd / Guildwood Pkwy</x:v>
      </x:c>
      <x:c r="D502" s="6" t="n">
        <x:v>785</x:v>
      </x:c>
      <x:c r="E502" s="6" t="n">
        <x:v>785</x:v>
      </x:c>
      <x:c r="F502" s="6" t="n">
        <x:v>0</x:v>
      </x:c>
      <x:c r="G502" s="6" t="n">
        <x:v>11</x:v>
      </x:c>
      <x:c r="H502" s="6" t="n">
        <x:v>114</x:v>
      </x:c>
      <x:c r="I502" s="6" t="n">
        <x:v>12448</x:v>
      </x:c>
      <x:c r="J502" s="11" t="n">
        <x:f>E502/D502</x:f>
        <x:v>1</x:v>
      </x:c>
      <x:c r="K502" s="11" t="n">
        <x:f>F502/D502</x:f>
        <x:v>0</x:v>
      </x:c>
      <x:c r="L502" s="13" t="n">
        <x:f>I502/D502</x:f>
        <x:v>15.857324840764331</x:v>
      </x:c>
      <x:c r="M502" s="6" t="str">
        <x:v>Included</x:v>
      </x:c>
    </x:row>
    <x:row r="503" ht="23" customHeight="1">
      <x:c r="B503" s="12" t="str">
        <x:v>7613</x:v>
      </x:c>
      <x:c r="C503" s="6" t="str">
        <x:v>Livingston Rd (Highland Creek Trail)</x:v>
      </x:c>
      <x:c r="D503" s="6" t="n">
        <x:v>783</x:v>
      </x:c>
      <x:c r="E503" s="6" t="n">
        <x:v>783</x:v>
      </x:c>
      <x:c r="F503" s="6" t="n">
        <x:v>0</x:v>
      </x:c>
      <x:c r="G503" s="6" t="n">
        <x:v>11</x:v>
      </x:c>
      <x:c r="H503" s="6" t="n">
        <x:v>115</x:v>
      </x:c>
      <x:c r="I503" s="6" t="n">
        <x:v>14166</x:v>
      </x:c>
      <x:c r="J503" s="11" t="n">
        <x:f>E503/D503</x:f>
        <x:v>1</x:v>
      </x:c>
      <x:c r="K503" s="11" t="n">
        <x:f>F503/D503</x:f>
        <x:v>0</x:v>
      </x:c>
      <x:c r="L503" s="13" t="n">
        <x:f>I503/D503</x:f>
        <x:v>18.091954022988507</x:v>
      </x:c>
      <x:c r="M503" s="6" t="str">
        <x:v>Included</x:v>
      </x:c>
    </x:row>
    <x:row r="504" ht="23" customHeight="1">
      <x:c r="B504" s="12" t="str">
        <x:v>7614</x:v>
      </x:c>
      <x:c r="C504" s="6" t="str">
        <x:v>Morningside Park (Highland Creek Trail)</x:v>
      </x:c>
      <x:c r="D504" s="6" t="n">
        <x:v>778</x:v>
      </x:c>
      <x:c r="E504" s="6" t="n">
        <x:v>778</x:v>
      </x:c>
      <x:c r="F504" s="6" t="n">
        <x:v>0</x:v>
      </x:c>
      <x:c r="G504" s="6" t="n">
        <x:v>11</x:v>
      </x:c>
      <x:c r="H504" s="6" t="n">
        <x:v>114</x:v>
      </x:c>
      <x:c r="I504" s="6" t="n">
        <x:v>13632</x:v>
      </x:c>
      <x:c r="J504" s="11" t="n">
        <x:f>E504/D504</x:f>
        <x:v>1</x:v>
      </x:c>
      <x:c r="K504" s="11" t="n">
        <x:f>F504/D504</x:f>
        <x:v>0</x:v>
      </x:c>
      <x:c r="L504" s="13" t="n">
        <x:f>I504/D504</x:f>
        <x:v>17.52185089974293</x:v>
      </x:c>
      <x:c r="M504" s="6" t="str">
        <x:v>Included</x:v>
      </x:c>
    </x:row>
    <x:row r="505" ht="23" customHeight="1">
      <x:c r="B505" s="12" t="str">
        <x:v>7615</x:v>
      </x:c>
      <x:c r="C505" s="6" t="str">
        <x:v>Colonel Danforth Park</x:v>
      </x:c>
      <x:c r="D505" s="6" t="n">
        <x:v>785</x:v>
      </x:c>
      <x:c r="E505" s="6" t="n">
        <x:v>785</x:v>
      </x:c>
      <x:c r="F505" s="6" t="n">
        <x:v>0</x:v>
      </x:c>
      <x:c r="G505" s="6" t="n">
        <x:v>11</x:v>
      </x:c>
      <x:c r="H505" s="6" t="n">
        <x:v>114</x:v>
      </x:c>
      <x:c r="I505" s="6" t="n">
        <x:v>9319</x:v>
      </x:c>
      <x:c r="J505" s="11" t="n">
        <x:f>E505/D505</x:f>
        <x:v>1</x:v>
      </x:c>
      <x:c r="K505" s="11" t="n">
        <x:f>F505/D505</x:f>
        <x:v>0</x:v>
      </x:c>
      <x:c r="L505" s="13" t="n">
        <x:f>I505/D505</x:f>
        <x:v>11.871337579617835</x:v>
      </x:c>
      <x:c r="M505" s="6" t="str">
        <x:v>Included</x:v>
      </x:c>
    </x:row>
    <x:row r="506" ht="23" customHeight="1">
      <x:c r="B506" s="12" t="str">
        <x:v>7616</x:v>
      </x:c>
      <x:c r="C506" s="6" t="str">
        <x:v>Waterfront Trail (Rouge Hill)</x:v>
      </x:c>
      <x:c r="D506" s="6" t="n">
        <x:v>778</x:v>
      </x:c>
      <x:c r="E506" s="6" t="n">
        <x:v>778</x:v>
      </x:c>
      <x:c r="F506" s="6" t="n">
        <x:v>0</x:v>
      </x:c>
      <x:c r="G506" s="6" t="n">
        <x:v>11</x:v>
      </x:c>
      <x:c r="H506" s="6" t="n">
        <x:v>115</x:v>
      </x:c>
      <x:c r="I506" s="6" t="n">
        <x:v>9461</x:v>
      </x:c>
      <x:c r="J506" s="11" t="n">
        <x:f>E506/D506</x:f>
        <x:v>1</x:v>
      </x:c>
      <x:c r="K506" s="11" t="n">
        <x:f>F506/D506</x:f>
        <x:v>0</x:v>
      </x:c>
      <x:c r="L506" s="13" t="n">
        <x:f>I506/D506</x:f>
        <x:v>12.160668380462726</x:v>
      </x:c>
      <x:c r="M506" s="6" t="str">
        <x:v>Included</x:v>
      </x:c>
    </x:row>
    <x:row r="507" ht="23" customHeight="1">
      <x:c r="B507" s="12" t="str">
        <x:v>7617</x:v>
      </x:c>
      <x:c r="C507" s="6" t="str">
        <x:v>Starspray Blvd / Lawrence Ave E</x:v>
      </x:c>
      <x:c r="D507" s="6" t="n">
        <x:v>782</x:v>
      </x:c>
      <x:c r="E507" s="6" t="n">
        <x:v>782</x:v>
      </x:c>
      <x:c r="F507" s="6" t="n">
        <x:v>0</x:v>
      </x:c>
      <x:c r="G507" s="6" t="n">
        <x:v>11</x:v>
      </x:c>
      <x:c r="H507" s="6" t="n">
        <x:v>115</x:v>
      </x:c>
      <x:c r="I507" s="6" t="n">
        <x:v>14317</x:v>
      </x:c>
      <x:c r="J507" s="11" t="n">
        <x:f>E507/D507</x:f>
        <x:v>1</x:v>
      </x:c>
      <x:c r="K507" s="11" t="n">
        <x:f>F507/D507</x:f>
        <x:v>0</x:v>
      </x:c>
      <x:c r="L507" s="13" t="n">
        <x:f>I507/D507</x:f>
        <x:v>18.308184143222505</x:v>
      </x:c>
      <x:c r="M507" s="6" t="str">
        <x:v>Included</x:v>
      </x:c>
    </x:row>
    <x:row r="508" ht="23" customHeight="1">
      <x:c r="B508" s="12" t="str">
        <x:v>7618</x:v>
      </x:c>
      <x:c r="C508" s="6" t="str">
        <x:v>Vaughan Rd / Oakwood Ave</x:v>
      </x:c>
      <x:c r="D508" s="6" t="n">
        <x:v>776</x:v>
      </x:c>
      <x:c r="E508" s="6" t="n">
        <x:v>776</x:v>
      </x:c>
      <x:c r="F508" s="6" t="n">
        <x:v>0</x:v>
      </x:c>
      <x:c r="G508" s="6" t="n">
        <x:v>11</x:v>
      </x:c>
      <x:c r="H508" s="6" t="n">
        <x:v>116</x:v>
      </x:c>
      <x:c r="I508" s="6" t="n">
        <x:v>6748</x:v>
      </x:c>
      <x:c r="J508" s="11" t="n">
        <x:f>E508/D508</x:f>
        <x:v>1</x:v>
      </x:c>
      <x:c r="K508" s="11" t="n">
        <x:f>F508/D508</x:f>
        <x:v>0</x:v>
      </x:c>
      <x:c r="L508" s="13" t="n">
        <x:f>I508/D508</x:f>
        <x:v>8.695876288659793</x:v>
      </x:c>
      <x:c r="M508" s="6" t="str">
        <x:v>Included</x:v>
      </x:c>
    </x:row>
    <x:row r="509" ht="23" customHeight="1">
      <x:c r="B509" s="12" t="str">
        <x:v>7619</x:v>
      </x:c>
      <x:c r="C509" s="6" t="str">
        <x:v>Braemar Ave / Eglinton Ave W</x:v>
      </x:c>
      <x:c r="D509" s="6" t="n">
        <x:v>785</x:v>
      </x:c>
      <x:c r="E509" s="6" t="n">
        <x:v>785</x:v>
      </x:c>
      <x:c r="F509" s="6" t="n">
        <x:v>0</x:v>
      </x:c>
      <x:c r="G509" s="6" t="n">
        <x:v>11</x:v>
      </x:c>
      <x:c r="H509" s="6" t="n">
        <x:v>115</x:v>
      </x:c>
      <x:c r="I509" s="6" t="n">
        <x:v>9873</x:v>
      </x:c>
      <x:c r="J509" s="11" t="n">
        <x:f>E509/D509</x:f>
        <x:v>1</x:v>
      </x:c>
      <x:c r="K509" s="11" t="n">
        <x:f>F509/D509</x:f>
        <x:v>0</x:v>
      </x:c>
      <x:c r="L509" s="13" t="n">
        <x:f>I509/D509</x:f>
        <x:v>12.577070063694267</x:v>
      </x:c>
      <x:c r="M509" s="6" t="str">
        <x:v>Included</x:v>
      </x:c>
    </x:row>
    <x:row r="510" ht="23" customHeight="1">
      <x:c r="B510" s="12" t="str">
        <x:v>7620</x:v>
      </x:c>
      <x:c r="C510" s="6" t="str">
        <x:v>Eglinton Ave E / Redpath Ave</x:v>
      </x:c>
      <x:c r="D510" s="6" t="n">
        <x:v>788</x:v>
      </x:c>
      <x:c r="E510" s="6" t="n">
        <x:v>788</x:v>
      </x:c>
      <x:c r="F510" s="6" t="n">
        <x:v>0</x:v>
      </x:c>
      <x:c r="G510" s="6" t="n">
        <x:v>11</x:v>
      </x:c>
      <x:c r="H510" s="6" t="n">
        <x:v>116</x:v>
      </x:c>
      <x:c r="I510" s="6" t="n">
        <x:v>17677</x:v>
      </x:c>
      <x:c r="J510" s="11" t="n">
        <x:f>E510/D510</x:f>
        <x:v>1</x:v>
      </x:c>
      <x:c r="K510" s="11" t="n">
        <x:f>F510/D510</x:f>
        <x:v>0</x:v>
      </x:c>
      <x:c r="L510" s="13" t="n">
        <x:f>I510/D510</x:f>
        <x:v>22.43274111675127</x:v>
      </x:c>
      <x:c r="M510" s="6" t="str">
        <x:v>Included</x:v>
      </x:c>
    </x:row>
    <x:row r="511" ht="23" customHeight="1">
      <x:c r="B511" s="12" t="str">
        <x:v>7622</x:v>
      </x:c>
      <x:c r="C511" s="6" t="str">
        <x:v>Marie Curtis Park</x:v>
      </x:c>
      <x:c r="D511" s="6" t="n">
        <x:v>788</x:v>
      </x:c>
      <x:c r="E511" s="6" t="n">
        <x:v>680</x:v>
      </x:c>
      <x:c r="F511" s="6" t="n">
        <x:v>108</x:v>
      </x:c>
      <x:c r="G511" s="6" t="n">
        <x:v>11</x:v>
      </x:c>
      <x:c r="H511" s="6" t="n">
        <x:v>116</x:v>
      </x:c>
      <x:c r="I511" s="6" t="n">
        <x:v>4608</x:v>
      </x:c>
      <x:c r="J511" s="11" t="n">
        <x:f>E511/D511</x:f>
        <x:v>0.8629441624365483</x:v>
      </x:c>
      <x:c r="K511" s="11" t="n">
        <x:f>F511/D511</x:f>
        <x:v>0.13705583756345177</x:v>
      </x:c>
      <x:c r="L511" s="13" t="n">
        <x:f>I511/D511</x:f>
        <x:v>5.847715736040609</x:v>
      </x:c>
      <x:c r="M511" s="6" t="str">
        <x:v>Included</x:v>
      </x:c>
    </x:row>
    <x:row r="512" ht="23" customHeight="1">
      <x:c r="B512" s="12" t="str">
        <x:v>7623</x:v>
      </x:c>
      <x:c r="C512" s="6" t="str">
        <x:v>Royal York Rd / Lake Shore Blvd W</x:v>
      </x:c>
      <x:c r="D512" s="6" t="n">
        <x:v>792</x:v>
      </x:c>
      <x:c r="E512" s="6" t="n">
        <x:v>792</x:v>
      </x:c>
      <x:c r="F512" s="6" t="n">
        <x:v>0</x:v>
      </x:c>
      <x:c r="G512" s="6" t="n">
        <x:v>11</x:v>
      </x:c>
      <x:c r="H512" s="6" t="n">
        <x:v>116</x:v>
      </x:c>
      <x:c r="I512" s="6" t="n">
        <x:v>12465</x:v>
      </x:c>
      <x:c r="J512" s="11" t="n">
        <x:f>E512/D512</x:f>
        <x:v>1</x:v>
      </x:c>
      <x:c r="K512" s="11" t="n">
        <x:f>F512/D512</x:f>
        <x:v>0</x:v>
      </x:c>
      <x:c r="L512" s="13" t="n">
        <x:f>I512/D512</x:f>
        <x:v>15.738636363636363</x:v>
      </x:c>
      <x:c r="M512" s="6" t="str">
        <x:v>Included</x:v>
      </x:c>
    </x:row>
    <x:row r="513" ht="23" customHeight="1">
      <x:c r="B513" s="12" t="str">
        <x:v>7624</x:v>
      </x:c>
      <x:c r="C513" s="6" t="str">
        <x:v>Guildwood GO Station (South)</x:v>
      </x:c>
      <x:c r="D513" s="6" t="n">
        <x:v>778</x:v>
      </x:c>
      <x:c r="E513" s="6" t="n">
        <x:v>778</x:v>
      </x:c>
      <x:c r="F513" s="6" t="n">
        <x:v>0</x:v>
      </x:c>
      <x:c r="G513" s="6" t="n">
        <x:v>11</x:v>
      </x:c>
      <x:c r="H513" s="6" t="n">
        <x:v>115</x:v>
      </x:c>
      <x:c r="I513" s="6" t="n">
        <x:v>6548</x:v>
      </x:c>
      <x:c r="J513" s="11" t="n">
        <x:f>E513/D513</x:f>
        <x:v>1</x:v>
      </x:c>
      <x:c r="K513" s="11" t="n">
        <x:f>F513/D513</x:f>
        <x:v>0</x:v>
      </x:c>
      <x:c r="L513" s="13" t="n">
        <x:f>I513/D513</x:f>
        <x:v>8.416452442159382</x:v>
      </x:c>
      <x:c r="M513" s="6" t="str">
        <x:v>Included</x:v>
      </x:c>
    </x:row>
    <x:row r="514" ht="23" customHeight="1">
      <x:c r="B514" s="12" t="str">
        <x:v>7625</x:v>
      </x:c>
      <x:c r="C514" s="6" t="str">
        <x:v>Yonge St / Lawrence Ave E</x:v>
      </x:c>
      <x:c r="D514" s="6" t="n">
        <x:v>787</x:v>
      </x:c>
      <x:c r="E514" s="6" t="n">
        <x:v>787</x:v>
      </x:c>
      <x:c r="F514" s="6" t="n">
        <x:v>0</x:v>
      </x:c>
      <x:c r="G514" s="6" t="n">
        <x:v>11</x:v>
      </x:c>
      <x:c r="H514" s="6" t="n">
        <x:v>116</x:v>
      </x:c>
      <x:c r="I514" s="6" t="n">
        <x:v>15862</x:v>
      </x:c>
      <x:c r="J514" s="11" t="n">
        <x:f>E514/D514</x:f>
        <x:v>1</x:v>
      </x:c>
      <x:c r="K514" s="11" t="n">
        <x:f>F514/D514</x:f>
        <x:v>0</x:v>
      </x:c>
      <x:c r="L514" s="13" t="n">
        <x:f>I514/D514</x:f>
        <x:v>20.15501905972046</x:v>
      </x:c>
      <x:c r="M514" s="6" t="str">
        <x:v>Included</x:v>
      </x:c>
    </x:row>
    <x:row r="515" ht="23" customHeight="1">
      <x:c r="B515" s="12" t="str">
        <x:v>7626</x:v>
      </x:c>
      <x:c r="C515" s="6" t="str">
        <x:v>Rouge Hill GO Station</x:v>
      </x:c>
      <x:c r="D515" s="6" t="n">
        <x:v>788</x:v>
      </x:c>
      <x:c r="E515" s="6" t="n">
        <x:v>788</x:v>
      </x:c>
      <x:c r="F515" s="6" t="n">
        <x:v>0</x:v>
      </x:c>
      <x:c r="G515" s="6" t="n">
        <x:v>11</x:v>
      </x:c>
      <x:c r="H515" s="6" t="n">
        <x:v>115</x:v>
      </x:c>
      <x:c r="I515" s="6" t="n">
        <x:v>15242</x:v>
      </x:c>
      <x:c r="J515" s="11" t="n">
        <x:f>E515/D515</x:f>
        <x:v>1</x:v>
      </x:c>
      <x:c r="K515" s="11" t="n">
        <x:f>F515/D515</x:f>
        <x:v>0</x:v>
      </x:c>
      <x:c r="L515" s="13" t="n">
        <x:f>I515/D515</x:f>
        <x:v>19.34263959390863</x:v>
      </x:c>
      <x:c r="M515" s="6" t="str">
        <x:v>Included</x:v>
      </x:c>
    </x:row>
    <x:row r="516" ht="23" customHeight="1">
      <x:c r="B516" s="12" t="str">
        <x:v>7627</x:v>
      </x:c>
      <x:c r="C516" s="6" t="str">
        <x:v>Shaw St / Essex St - SMART</x:v>
      </x:c>
      <x:c r="D516" s="6" t="n">
        <x:v>784</x:v>
      </x:c>
      <x:c r="E516" s="6" t="n">
        <x:v>770</x:v>
      </x:c>
      <x:c r="F516" s="6" t="n">
        <x:v>14</x:v>
      </x:c>
      <x:c r="G516" s="6" t="n">
        <x:v>11</x:v>
      </x:c>
      <x:c r="H516" s="6" t="n">
        <x:v>115</x:v>
      </x:c>
      <x:c r="I516" s="6" t="n">
        <x:v>8604</x:v>
      </x:c>
      <x:c r="J516" s="11" t="n">
        <x:f>E516/D516</x:f>
        <x:v>0.9821428571428571</x:v>
      </x:c>
      <x:c r="K516" s="11" t="n">
        <x:f>F516/D516</x:f>
        <x:v>0.017857142857142856</x:v>
      </x:c>
      <x:c r="L516" s="13" t="n">
        <x:f>I516/D516</x:f>
        <x:v>10.974489795918368</x:v>
      </x:c>
      <x:c r="M516" s="6" t="str">
        <x:v>Included</x:v>
      </x:c>
    </x:row>
    <x:row r="517" ht="23" customHeight="1">
      <x:c r="B517" s="12" t="str">
        <x:v>7629</x:v>
      </x:c>
      <x:c r="C517" s="6" t="str">
        <x:v>Lundy Ave / Étienne Brûlé Park</x:v>
      </x:c>
      <x:c r="D517" s="6" t="n">
        <x:v>793</x:v>
      </x:c>
      <x:c r="E517" s="6" t="n">
        <x:v>793</x:v>
      </x:c>
      <x:c r="F517" s="6" t="n">
        <x:v>0</x:v>
      </x:c>
      <x:c r="G517" s="6" t="n">
        <x:v>11</x:v>
      </x:c>
      <x:c r="H517" s="6" t="n">
        <x:v>114</x:v>
      </x:c>
      <x:c r="I517" s="6" t="n">
        <x:v>1982</x:v>
      </x:c>
      <x:c r="J517" s="11" t="n">
        <x:f>E517/D517</x:f>
        <x:v>1</x:v>
      </x:c>
      <x:c r="K517" s="11" t="n">
        <x:f>F517/D517</x:f>
        <x:v>0</x:v>
      </x:c>
      <x:c r="L517" s="13" t="n">
        <x:f>I517/D517</x:f>
        <x:v>2.4993694829760402</x:v>
      </x:c>
      <x:c r="M517" s="6" t="str">
        <x:v>Included</x:v>
      </x:c>
    </x:row>
    <x:row r="518" ht="23" customHeight="1">
      <x:c r="B518" s="12" t="str">
        <x:v>7630</x:v>
      </x:c>
      <x:c r="C518" s="6" t="str">
        <x:v>Twelfth St / Thirteenth St</x:v>
      </x:c>
      <x:c r="D518" s="6" t="n">
        <x:v>794</x:v>
      </x:c>
      <x:c r="E518" s="6" t="n">
        <x:v>794</x:v>
      </x:c>
      <x:c r="F518" s="6" t="n">
        <x:v>0</x:v>
      </x:c>
      <x:c r="G518" s="6" t="n">
        <x:v>11</x:v>
      </x:c>
      <x:c r="H518" s="6" t="n">
        <x:v>115</x:v>
      </x:c>
      <x:c r="I518" s="6" t="n">
        <x:v>10098</x:v>
      </x:c>
      <x:c r="J518" s="11" t="n">
        <x:f>E518/D518</x:f>
        <x:v>1</x:v>
      </x:c>
      <x:c r="K518" s="11" t="n">
        <x:f>F518/D518</x:f>
        <x:v>0</x:v>
      </x:c>
      <x:c r="L518" s="13" t="n">
        <x:f>I518/D518</x:f>
        <x:v>12.717884130982368</x:v>
      </x:c>
      <x:c r="M518" s="6" t="str">
        <x:v>Included</x:v>
      </x:c>
    </x:row>
    <x:row r="519" ht="23" customHeight="1">
      <x:c r="B519" s="12" t="str">
        <x:v>7631</x:v>
      </x:c>
      <x:c r="C519" s="6" t="str">
        <x:v>Florence Gell Park</x:v>
      </x:c>
      <x:c r="D519" s="6" t="n">
        <x:v>789</x:v>
      </x:c>
      <x:c r="E519" s="6" t="n">
        <x:v>443</x:v>
      </x:c>
      <x:c r="F519" s="6" t="n">
        <x:v>346</x:v>
      </x:c>
      <x:c r="G519" s="6" t="n">
        <x:v>11</x:v>
      </x:c>
      <x:c r="H519" s="6" t="n">
        <x:v>115</x:v>
      </x:c>
      <x:c r="I519" s="6" t="n">
        <x:v>1032</x:v>
      </x:c>
      <x:c r="J519" s="11" t="n">
        <x:f>E519/D519</x:f>
        <x:v>0.5614702154626109</x:v>
      </x:c>
      <x:c r="K519" s="11" t="n">
        <x:f>F519/D519</x:f>
        <x:v>0.4385297845373891</x:v>
      </x:c>
      <x:c r="L519" s="13" t="n">
        <x:f>I519/D519</x:f>
        <x:v>1.3079847908745248</x:v>
      </x:c>
      <x:c r="M519" s="6" t="str">
        <x:v>Included</x:v>
      </x:c>
    </x:row>
    <x:row r="520" ht="23" customHeight="1">
      <x:c r="B520" s="12" t="str">
        <x:v>7632</x:v>
      </x:c>
      <x:c r="C520" s="6" t="str">
        <x:v>Chiltern Hill Rd / Eglinton Ave W</x:v>
      </x:c>
      <x:c r="D520" s="6" t="n">
        <x:v>785</x:v>
      </x:c>
      <x:c r="E520" s="6" t="n">
        <x:v>785</x:v>
      </x:c>
      <x:c r="F520" s="6" t="n">
        <x:v>0</x:v>
      </x:c>
      <x:c r="G520" s="6" t="n">
        <x:v>11</x:v>
      </x:c>
      <x:c r="H520" s="6" t="n">
        <x:v>115</x:v>
      </x:c>
      <x:c r="I520" s="6" t="n">
        <x:v>11748</x:v>
      </x:c>
      <x:c r="J520" s="11" t="n">
        <x:f>E520/D520</x:f>
        <x:v>1</x:v>
      </x:c>
      <x:c r="K520" s="11" t="n">
        <x:f>F520/D520</x:f>
        <x:v>0</x:v>
      </x:c>
      <x:c r="L520" s="13" t="n">
        <x:f>I520/D520</x:f>
        <x:v>14.9656050955414</x:v>
      </x:c>
      <x:c r="M520" s="6" t="str">
        <x:v>Included</x:v>
      </x:c>
    </x:row>
    <x:row r="521" ht="23" customHeight="1">
      <x:c r="B521" s="12" t="str">
        <x:v>7633</x:v>
      </x:c>
      <x:c r="C521" s="6" t="str">
        <x:v>Noble St / Queen St W</x:v>
      </x:c>
      <x:c r="D521" s="6" t="n">
        <x:v>791</x:v>
      </x:c>
      <x:c r="E521" s="6" t="n">
        <x:v>643</x:v>
      </x:c>
      <x:c r="F521" s="6" t="n">
        <x:v>148</x:v>
      </x:c>
      <x:c r="G521" s="6" t="n">
        <x:v>11</x:v>
      </x:c>
      <x:c r="H521" s="6" t="n">
        <x:v>114</x:v>
      </x:c>
      <x:c r="I521" s="6" t="n">
        <x:v>2462</x:v>
      </x:c>
      <x:c r="J521" s="11" t="n">
        <x:f>E521/D521</x:f>
        <x:v>0.8128950695322377</x:v>
      </x:c>
      <x:c r="K521" s="11" t="n">
        <x:f>F521/D521</x:f>
        <x:v>0.18710493046776233</x:v>
      </x:c>
      <x:c r="L521" s="13" t="n">
        <x:f>I521/D521</x:f>
        <x:v>3.1125158027812896</x:v>
      </x:c>
      <x:c r="M521" s="6" t="str">
        <x:v>Included</x:v>
      </x:c>
    </x:row>
    <x:row r="522" ht="23" customHeight="1">
      <x:c r="B522" s="12" t="str">
        <x:v>7635</x:v>
      </x:c>
      <x:c r="C522" s="6" t="str">
        <x:v>Runnymede Rd / Annette St</x:v>
      </x:c>
      <x:c r="D522" s="6" t="n">
        <x:v>785</x:v>
      </x:c>
      <x:c r="E522" s="6" t="n">
        <x:v>785</x:v>
      </x:c>
      <x:c r="F522" s="6" t="n">
        <x:v>0</x:v>
      </x:c>
      <x:c r="G522" s="6" t="n">
        <x:v>11</x:v>
      </x:c>
      <x:c r="H522" s="6" t="n">
        <x:v>114</x:v>
      </x:c>
      <x:c r="I522" s="6" t="n">
        <x:v>8553</x:v>
      </x:c>
      <x:c r="J522" s="11" t="n">
        <x:f>E522/D522</x:f>
        <x:v>1</x:v>
      </x:c>
      <x:c r="K522" s="11" t="n">
        <x:f>F522/D522</x:f>
        <x:v>0</x:v>
      </x:c>
      <x:c r="L522" s="13" t="n">
        <x:f>I522/D522</x:f>
        <x:v>10.895541401273885</x:v>
      </x:c>
      <x:c r="M522" s="6" t="str">
        <x:v>Included</x:v>
      </x:c>
    </x:row>
    <x:row r="523" ht="23" customHeight="1">
      <x:c r="B523" s="12" t="str">
        <x:v>7636</x:v>
      </x:c>
      <x:c r="C523" s="6" t="str">
        <x:v>Bloor St W / Riverside Dr</x:v>
      </x:c>
      <x:c r="D523" s="6" t="n">
        <x:v>794</x:v>
      </x:c>
      <x:c r="E523" s="6" t="n">
        <x:v>794</x:v>
      </x:c>
      <x:c r="F523" s="6" t="n">
        <x:v>0</x:v>
      </x:c>
      <x:c r="G523" s="6" t="n">
        <x:v>11</x:v>
      </x:c>
      <x:c r="H523" s="6" t="n">
        <x:v>114</x:v>
      </x:c>
      <x:c r="I523" s="6" t="n">
        <x:v>11250</x:v>
      </x:c>
      <x:c r="J523" s="11" t="n">
        <x:f>E523/D523</x:f>
        <x:v>1</x:v>
      </x:c>
      <x:c r="K523" s="11" t="n">
        <x:f>F523/D523</x:f>
        <x:v>0</x:v>
      </x:c>
      <x:c r="L523" s="13" t="n">
        <x:f>I523/D523</x:f>
        <x:v>14.168765743073047</x:v>
      </x:c>
      <x:c r="M523" s="6" t="str">
        <x:v>Included</x:v>
      </x:c>
    </x:row>
    <x:row r="524" ht="23" customHeight="1">
      <x:c r="B524" s="12" t="str">
        <x:v>7637</x:v>
      </x:c>
      <x:c r="C524" s="6" t="str">
        <x:v>Judson St / Royal York Rd</x:v>
      </x:c>
      <x:c r="D524" s="6" t="n">
        <x:v>787</x:v>
      </x:c>
      <x:c r="E524" s="6" t="n">
        <x:v>787</x:v>
      </x:c>
      <x:c r="F524" s="6" t="n">
        <x:v>0</x:v>
      </x:c>
      <x:c r="G524" s="6" t="n">
        <x:v>11</x:v>
      </x:c>
      <x:c r="H524" s="6" t="n">
        <x:v>114</x:v>
      </x:c>
      <x:c r="I524" s="6" t="n">
        <x:v>11239</x:v>
      </x:c>
      <x:c r="J524" s="11" t="n">
        <x:f>E524/D524</x:f>
        <x:v>1</x:v>
      </x:c>
      <x:c r="K524" s="11" t="n">
        <x:f>F524/D524</x:f>
        <x:v>0</x:v>
      </x:c>
      <x:c r="L524" s="13" t="n">
        <x:f>I524/D524</x:f>
        <x:v>14.280813214739517</x:v>
      </x:c>
      <x:c r="M524" s="6" t="str">
        <x:v>Included</x:v>
      </x:c>
    </x:row>
    <x:row r="525" ht="23" customHeight="1">
      <x:c r="B525" s="12" t="str">
        <x:v>7639</x:v>
      </x:c>
      <x:c r="C525" s="6" t="str">
        <x:v>135 Queens Wharf Rd - SMART</x:v>
      </x:c>
      <x:c r="D525" s="6" t="n">
        <x:v>788</x:v>
      </x:c>
      <x:c r="E525" s="6" t="n">
        <x:v>609</x:v>
      </x:c>
      <x:c r="F525" s="6" t="n">
        <x:v>179</x:v>
      </x:c>
      <x:c r="G525" s="6" t="n">
        <x:v>11</x:v>
      </x:c>
      <x:c r="H525" s="6" t="n">
        <x:v>114</x:v>
      </x:c>
      <x:c r="I525" s="6" t="n">
        <x:v>5196</x:v>
      </x:c>
      <x:c r="J525" s="11" t="n">
        <x:f>E525/D525</x:f>
        <x:v>0.7728426395939086</x:v>
      </x:c>
      <x:c r="K525" s="11" t="n">
        <x:f>F525/D525</x:f>
        <x:v>0.22715736040609136</x:v>
      </x:c>
      <x:c r="L525" s="13" t="n">
        <x:f>I525/D525</x:f>
        <x:v>6.593908629441624</x:v>
      </x:c>
      <x:c r="M525" s="6" t="str">
        <x:v>Included</x:v>
      </x:c>
    </x:row>
    <x:row r="526" ht="23" customHeight="1">
      <x:c r="B526" s="12" t="str">
        <x:v>7640</x:v>
      </x:c>
      <x:c r="C526" s="6" t="str">
        <x:v>Spadina Rd / St. Clair Ave W</x:v>
      </x:c>
      <x:c r="D526" s="6" t="n">
        <x:v>781</x:v>
      </x:c>
      <x:c r="E526" s="6" t="n">
        <x:v>781</x:v>
      </x:c>
      <x:c r="F526" s="6" t="n">
        <x:v>0</x:v>
      </x:c>
      <x:c r="G526" s="6" t="n">
        <x:v>11</x:v>
      </x:c>
      <x:c r="H526" s="6" t="n">
        <x:v>115</x:v>
      </x:c>
      <x:c r="I526" s="6" t="n">
        <x:v>9628</x:v>
      </x:c>
      <x:c r="J526" s="11" t="n">
        <x:f>E526/D526</x:f>
        <x:v>1</x:v>
      </x:c>
      <x:c r="K526" s="11" t="n">
        <x:f>F526/D526</x:f>
        <x:v>0</x:v>
      </x:c>
      <x:c r="L526" s="13" t="n">
        <x:f>I526/D526</x:f>
        <x:v>12.327784891165173</x:v>
      </x:c>
      <x:c r="M526" s="6" t="str">
        <x:v>Included</x:v>
      </x:c>
    </x:row>
    <x:row r="527" ht="23" customHeight="1">
      <x:c r="B527" s="12" t="str">
        <x:v>7641</x:v>
      </x:c>
      <x:c r="C527" s="6" t="str">
        <x:v>Annette St / Dundas St W</x:v>
      </x:c>
      <x:c r="D527" s="6" t="n">
        <x:v>780</x:v>
      </x:c>
      <x:c r="E527" s="6" t="n">
        <x:v>780</x:v>
      </x:c>
      <x:c r="F527" s="6" t="n">
        <x:v>0</x:v>
      </x:c>
      <x:c r="G527" s="6" t="n">
        <x:v>11</x:v>
      </x:c>
      <x:c r="H527" s="6" t="n">
        <x:v>114</x:v>
      </x:c>
      <x:c r="I527" s="6" t="n">
        <x:v>8236</x:v>
      </x:c>
      <x:c r="J527" s="11" t="n">
        <x:f>E527/D527</x:f>
        <x:v>1</x:v>
      </x:c>
      <x:c r="K527" s="11" t="n">
        <x:f>F527/D527</x:f>
        <x:v>0</x:v>
      </x:c>
      <x:c r="L527" s="13" t="n">
        <x:f>I527/D527</x:f>
        <x:v>10.558974358974359</x:v>
      </x:c>
      <x:c r="M527" s="6" t="str">
        <x:v>Included</x:v>
      </x:c>
    </x:row>
    <x:row r="528" ht="23" customHeight="1">
      <x:c r="B528" s="12" t="str">
        <x:v>7642</x:v>
      </x:c>
      <x:c r="C528" s="6" t="str">
        <x:v>Yonge St / St. Clair Ave</x:v>
      </x:c>
      <x:c r="D528" s="6" t="n">
        <x:v>780</x:v>
      </x:c>
      <x:c r="E528" s="6" t="n">
        <x:v>780</x:v>
      </x:c>
      <x:c r="F528" s="6" t="n">
        <x:v>0</x:v>
      </x:c>
      <x:c r="G528" s="6" t="n">
        <x:v>11</x:v>
      </x:c>
      <x:c r="H528" s="6" t="n">
        <x:v>114</x:v>
      </x:c>
      <x:c r="I528" s="6" t="n">
        <x:v>9574</x:v>
      </x:c>
      <x:c r="J528" s="11" t="n">
        <x:f>E528/D528</x:f>
        <x:v>1</x:v>
      </x:c>
      <x:c r="K528" s="11" t="n">
        <x:f>F528/D528</x:f>
        <x:v>0</x:v>
      </x:c>
      <x:c r="L528" s="13" t="n">
        <x:f>I528/D528</x:f>
        <x:v>12.274358974358975</x:v>
      </x:c>
      <x:c r="M528" s="6" t="str">
        <x:v>Included</x:v>
      </x:c>
    </x:row>
    <x:row r="529" ht="23" customHeight="1">
      <x:c r="B529" s="12" t="str">
        <x:v>7643</x:v>
      </x:c>
      <x:c r="C529" s="6" t="str">
        <x:v>Oriole Pkwy / Kilbarry Rd</x:v>
      </x:c>
      <x:c r="D529" s="6" t="n">
        <x:v>791</x:v>
      </x:c>
      <x:c r="E529" s="6" t="n">
        <x:v>791</x:v>
      </x:c>
      <x:c r="F529" s="6" t="n">
        <x:v>0</x:v>
      </x:c>
      <x:c r="G529" s="6" t="n">
        <x:v>11</x:v>
      </x:c>
      <x:c r="H529" s="6" t="n">
        <x:v>116</x:v>
      </x:c>
      <x:c r="I529" s="6" t="n">
        <x:v>13049</x:v>
      </x:c>
      <x:c r="J529" s="11" t="n">
        <x:f>E529/D529</x:f>
        <x:v>1</x:v>
      </x:c>
      <x:c r="K529" s="11" t="n">
        <x:f>F529/D529</x:f>
        <x:v>0</x:v>
      </x:c>
      <x:c r="L529" s="13" t="n">
        <x:f>I529/D529</x:f>
        <x:v>16.496839443742097</x:v>
      </x:c>
      <x:c r="M529" s="6" t="str">
        <x:v>Included</x:v>
      </x:c>
    </x:row>
    <x:row r="530" ht="23" customHeight="1">
      <x:c r="B530" s="12" t="str">
        <x:v>7644</x:v>
      </x:c>
      <x:c r="C530" s="6" t="str">
        <x:v>East Lynn Ave / Danforth Ave</x:v>
      </x:c>
      <x:c r="D530" s="6" t="n">
        <x:v>786</x:v>
      </x:c>
      <x:c r="E530" s="6" t="n">
        <x:v>786</x:v>
      </x:c>
      <x:c r="F530" s="6" t="n">
        <x:v>0</x:v>
      </x:c>
      <x:c r="G530" s="6" t="n">
        <x:v>11</x:v>
      </x:c>
      <x:c r="H530" s="6" t="n">
        <x:v>114</x:v>
      </x:c>
      <x:c r="I530" s="6" t="n">
        <x:v>8989</x:v>
      </x:c>
      <x:c r="J530" s="11" t="n">
        <x:f>E530/D530</x:f>
        <x:v>1</x:v>
      </x:c>
      <x:c r="K530" s="11" t="n">
        <x:f>F530/D530</x:f>
        <x:v>0</x:v>
      </x:c>
      <x:c r="L530" s="13" t="n">
        <x:f>I530/D530</x:f>
        <x:v>11.436386768447838</x:v>
      </x:c>
      <x:c r="M530" s="6" t="str">
        <x:v>Included</x:v>
      </x:c>
    </x:row>
    <x:row r="531" ht="23" customHeight="1">
      <x:c r="B531" s="12" t="str">
        <x:v>7645</x:v>
      </x:c>
      <x:c r="C531" s="6" t="str">
        <x:v>University of Toronto Scarborough</x:v>
      </x:c>
      <x:c r="D531" s="6" t="n">
        <x:v>788</x:v>
      </x:c>
      <x:c r="E531" s="6" t="n">
        <x:v>788</x:v>
      </x:c>
      <x:c r="F531" s="6" t="n">
        <x:v>0</x:v>
      </x:c>
      <x:c r="G531" s="6" t="n">
        <x:v>11</x:v>
      </x:c>
      <x:c r="H531" s="6" t="n">
        <x:v>116</x:v>
      </x:c>
      <x:c r="I531" s="6" t="n">
        <x:v>10950</x:v>
      </x:c>
      <x:c r="J531" s="11" t="n">
        <x:f>E531/D531</x:f>
        <x:v>1</x:v>
      </x:c>
      <x:c r="K531" s="11" t="n">
        <x:f>F531/D531</x:f>
        <x:v>0</x:v>
      </x:c>
      <x:c r="L531" s="13" t="n">
        <x:f>I531/D531</x:f>
        <x:v>13.895939086294415</x:v>
      </x:c>
      <x:c r="M531" s="6" t="str">
        <x:v>Included</x:v>
      </x:c>
    </x:row>
    <x:row r="532" ht="23" customHeight="1">
      <x:c r="B532" s="12" t="str">
        <x:v>7646</x:v>
      </x:c>
      <x:c r="C532" s="6" t="str">
        <x:v>University Ave / Richmond St W</x:v>
      </x:c>
      <x:c r="D532" s="6" t="n">
        <x:v>793</x:v>
      </x:c>
      <x:c r="E532" s="6" t="n">
        <x:v>685</x:v>
      </x:c>
      <x:c r="F532" s="6" t="n">
        <x:v>108</x:v>
      </x:c>
      <x:c r="G532" s="6" t="n">
        <x:v>11</x:v>
      </x:c>
      <x:c r="H532" s="6" t="n">
        <x:v>115</x:v>
      </x:c>
      <x:c r="I532" s="6" t="n">
        <x:v>5536</x:v>
      </x:c>
      <x:c r="J532" s="11" t="n">
        <x:f>E532/D532</x:f>
        <x:v>0.8638083228247163</x:v>
      </x:c>
      <x:c r="K532" s="11" t="n">
        <x:f>F532/D532</x:f>
        <x:v>0.13619167717528374</x:v>
      </x:c>
      <x:c r="L532" s="13" t="n">
        <x:f>I532/D532</x:f>
        <x:v>6.98108448928121</x:v>
      </x:c>
      <x:c r="M532" s="6" t="str">
        <x:v>Included</x:v>
      </x:c>
    </x:row>
    <x:row r="533" ht="23" customHeight="1">
      <x:c r="B533" s="12" t="str">
        <x:v>7650</x:v>
      </x:c>
      <x:c r="C533" s="6" t="str">
        <x:v>St. Clair West Subway Station - Heath St. W</x:v>
      </x:c>
      <x:c r="D533" s="6" t="n">
        <x:v>783</x:v>
      </x:c>
      <x:c r="E533" s="6" t="n">
        <x:v>783</x:v>
      </x:c>
      <x:c r="F533" s="6" t="n">
        <x:v>0</x:v>
      </x:c>
      <x:c r="G533" s="6" t="n">
        <x:v>11</x:v>
      </x:c>
      <x:c r="H533" s="6" t="n">
        <x:v>113</x:v>
      </x:c>
      <x:c r="I533" s="6" t="n">
        <x:v>15769</x:v>
      </x:c>
      <x:c r="J533" s="11" t="n">
        <x:f>E533/D533</x:f>
        <x:v>1</x:v>
      </x:c>
      <x:c r="K533" s="11" t="n">
        <x:f>F533/D533</x:f>
        <x:v>0</x:v>
      </x:c>
      <x:c r="L533" s="13" t="n">
        <x:f>I533/D533</x:f>
        <x:v>20.139208173690932</x:v>
      </x:c>
      <x:c r="M533" s="6" t="str">
        <x:v>Included</x:v>
      </x:c>
    </x:row>
    <x:row r="534" ht="23" customHeight="1">
      <x:c r="B534" s="12" t="str">
        <x:v>7653</x:v>
      </x:c>
      <x:c r="C534" s="6" t="str">
        <x:v>Bloor St W / Indian Rd</x:v>
      </x:c>
      <x:c r="D534" s="6" t="n">
        <x:v>784</x:v>
      </x:c>
      <x:c r="E534" s="6" t="n">
        <x:v>784</x:v>
      </x:c>
      <x:c r="F534" s="6" t="n">
        <x:v>0</x:v>
      </x:c>
      <x:c r="G534" s="6" t="n">
        <x:v>11</x:v>
      </x:c>
      <x:c r="H534" s="6" t="n">
        <x:v>114</x:v>
      </x:c>
      <x:c r="I534" s="6" t="n">
        <x:v>6570</x:v>
      </x:c>
      <x:c r="J534" s="11" t="n">
        <x:f>E534/D534</x:f>
        <x:v>1</x:v>
      </x:c>
      <x:c r="K534" s="11" t="n">
        <x:f>F534/D534</x:f>
        <x:v>0</x:v>
      </x:c>
      <x:c r="L534" s="13" t="n">
        <x:f>I534/D534</x:f>
        <x:v>8.380102040816327</x:v>
      </x:c>
      <x:c r="M534" s="6" t="str">
        <x:v>Included</x:v>
      </x:c>
    </x:row>
    <x:row r="535" ht="23" customHeight="1">
      <x:c r="B535" s="12" t="str">
        <x:v>7654</x:v>
      </x:c>
      <x:c r="C535" s="6" t="str">
        <x:v>Bloor St W / Pacific Ave</x:v>
      </x:c>
      <x:c r="D535" s="6" t="n">
        <x:v>784</x:v>
      </x:c>
      <x:c r="E535" s="6" t="n">
        <x:v>667</x:v>
      </x:c>
      <x:c r="F535" s="6" t="n">
        <x:v>117</x:v>
      </x:c>
      <x:c r="G535" s="6" t="n">
        <x:v>11</x:v>
      </x:c>
      <x:c r="H535" s="6" t="n">
        <x:v>115</x:v>
      </x:c>
      <x:c r="I535" s="6" t="n">
        <x:v>2529</x:v>
      </x:c>
      <x:c r="J535" s="11" t="n">
        <x:f>E535/D535</x:f>
        <x:v>0.8507653061224489</x:v>
      </x:c>
      <x:c r="K535" s="11" t="n">
        <x:f>F535/D535</x:f>
        <x:v>0.14923469387755103</x:v>
      </x:c>
      <x:c r="L535" s="13" t="n">
        <x:f>I535/D535</x:f>
        <x:v>3.225765306122449</x:v>
      </x:c>
      <x:c r="M535" s="6" t="str">
        <x:v>Included</x:v>
      </x:c>
    </x:row>
    <x:row r="536" ht="23" customHeight="1">
      <x:c r="B536" s="12" t="str">
        <x:v>7655</x:v>
      </x:c>
      <x:c r="C536" s="6" t="str">
        <x:v>Danforth Ave / Dewhurst Blvd</x:v>
      </x:c>
      <x:c r="D536" s="6" t="n">
        <x:v>788</x:v>
      </x:c>
      <x:c r="E536" s="6" t="n">
        <x:v>788</x:v>
      </x:c>
      <x:c r="F536" s="6" t="n">
        <x:v>0</x:v>
      </x:c>
      <x:c r="G536" s="6" t="n">
        <x:v>11</x:v>
      </x:c>
      <x:c r="H536" s="6" t="n">
        <x:v>114</x:v>
      </x:c>
      <x:c r="I536" s="6" t="n">
        <x:v>10158</x:v>
      </x:c>
      <x:c r="J536" s="11" t="n">
        <x:f>E536/D536</x:f>
        <x:v>1</x:v>
      </x:c>
      <x:c r="K536" s="11" t="n">
        <x:f>F536/D536</x:f>
        <x:v>0</x:v>
      </x:c>
      <x:c r="L536" s="13" t="n">
        <x:f>I536/D536</x:f>
        <x:v>12.890862944162437</x:v>
      </x:c>
      <x:c r="M536" s="6" t="str">
        <x:v>Included</x:v>
      </x:c>
    </x:row>
    <x:row r="537" ht="23" customHeight="1">
      <x:c r="B537" s="12" t="str">
        <x:v>7656</x:v>
      </x:c>
      <x:c r="C537" s="6" t="str">
        <x:v>Bloor St W / Brock Ave</x:v>
      </x:c>
      <x:c r="D537" s="6" t="n">
        <x:v>786</x:v>
      </x:c>
      <x:c r="E537" s="6" t="n">
        <x:v>776</x:v>
      </x:c>
      <x:c r="F537" s="6" t="n">
        <x:v>10</x:v>
      </x:c>
      <x:c r="G537" s="6" t="n">
        <x:v>11</x:v>
      </x:c>
      <x:c r="H537" s="6" t="n">
        <x:v>114</x:v>
      </x:c>
      <x:c r="I537" s="6" t="n">
        <x:v>5451</x:v>
      </x:c>
      <x:c r="J537" s="11" t="n">
        <x:f>E537/D537</x:f>
        <x:v>0.9872773536895675</x:v>
      </x:c>
      <x:c r="K537" s="11" t="n">
        <x:f>F537/D537</x:f>
        <x:v>0.01272264631043257</x:v>
      </x:c>
      <x:c r="L537" s="13" t="n">
        <x:f>I537/D537</x:f>
        <x:v>6.935114503816794</x:v>
      </x:c>
      <x:c r="M537" s="6" t="str">
        <x:v>Included</x:v>
      </x:c>
    </x:row>
    <x:row r="538" ht="23" customHeight="1">
      <x:c r="B538" s="12" t="str">
        <x:v>7657</x:v>
      </x:c>
      <x:c r="C538" s="6" t="str">
        <x:v>1 Market St</x:v>
      </x:c>
      <x:c r="D538" s="6" t="n">
        <x:v>787</x:v>
      </x:c>
      <x:c r="E538" s="6" t="n">
        <x:v>708</x:v>
      </x:c>
      <x:c r="F538" s="6" t="n">
        <x:v>79</x:v>
      </x:c>
      <x:c r="G538" s="6" t="n">
        <x:v>11</x:v>
      </x:c>
      <x:c r="H538" s="6" t="n">
        <x:v>114</x:v>
      </x:c>
      <x:c r="I538" s="6" t="n">
        <x:v>2065</x:v>
      </x:c>
      <x:c r="J538" s="11" t="n">
        <x:f>E538/D538</x:f>
        <x:v>0.8996188055908514</x:v>
      </x:c>
      <x:c r="K538" s="11" t="n">
        <x:f>F538/D538</x:f>
        <x:v>0.10038119440914867</x:v>
      </x:c>
      <x:c r="L538" s="13" t="n">
        <x:f>I538/D538</x:f>
        <x:v>2.6238881829733165</x:v>
      </x:c>
      <x:c r="M538" s="6" t="str">
        <x:v>Included</x:v>
      </x:c>
    </x:row>
    <x:row r="539" ht="23" customHeight="1">
      <x:c r="B539" s="12" t="str">
        <x:v>7658</x:v>
      </x:c>
      <x:c r="C539" s="6" t="str">
        <x:v>King's Mill Park</x:v>
      </x:c>
      <x:c r="D539" s="6" t="n">
        <x:v>790</x:v>
      </x:c>
      <x:c r="E539" s="6" t="n">
        <x:v>790</x:v>
      </x:c>
      <x:c r="F539" s="6" t="n">
        <x:v>0</x:v>
      </x:c>
      <x:c r="G539" s="6" t="n">
        <x:v>11</x:v>
      </x:c>
      <x:c r="H539" s="6" t="n">
        <x:v>114</x:v>
      </x:c>
      <x:c r="I539" s="6" t="n">
        <x:v>6086</x:v>
      </x:c>
      <x:c r="J539" s="11" t="n">
        <x:f>E539/D539</x:f>
        <x:v>1</x:v>
      </x:c>
      <x:c r="K539" s="11" t="n">
        <x:f>F539/D539</x:f>
        <x:v>0</x:v>
      </x:c>
      <x:c r="L539" s="13" t="n">
        <x:f>I539/D539</x:f>
        <x:v>7.703797468354431</x:v>
      </x:c>
      <x:c r="M539" s="6" t="str">
        <x:v>Included</x:v>
      </x:c>
    </x:row>
    <x:row r="540" ht="23" customHeight="1">
      <x:c r="B540" s="12" t="str">
        <x:v>7659</x:v>
      </x:c>
      <x:c r="C540" s="6" t="str">
        <x:v>Amroth Ave / Danforth Ave</x:v>
      </x:c>
      <x:c r="D540" s="6" t="n">
        <x:v>785</x:v>
      </x:c>
      <x:c r="E540" s="6" t="n">
        <x:v>785</x:v>
      </x:c>
      <x:c r="F540" s="6" t="n">
        <x:v>0</x:v>
      </x:c>
      <x:c r="G540" s="6" t="n">
        <x:v>11</x:v>
      </x:c>
      <x:c r="H540" s="6" t="n">
        <x:v>114</x:v>
      </x:c>
      <x:c r="I540" s="6" t="n">
        <x:v>12633</x:v>
      </x:c>
      <x:c r="J540" s="11" t="n">
        <x:f>E540/D540</x:f>
        <x:v>1</x:v>
      </x:c>
      <x:c r="K540" s="11" t="n">
        <x:f>F540/D540</x:f>
        <x:v>0</x:v>
      </x:c>
      <x:c r="L540" s="13" t="n">
        <x:f>I540/D540</x:f>
        <x:v>16.092993630573247</x:v>
      </x:c>
      <x:c r="M540" s="6" t="str">
        <x:v>Included</x:v>
      </x:c>
    </x:row>
    <x:row r="541" ht="23" customHeight="1">
      <x:c r="B541" s="12" t="str">
        <x:v>7660</x:v>
      </x:c>
      <x:c r="C541" s="6" t="str">
        <x:v>285 Victoria St</x:v>
      </x:c>
      <x:c r="D541" s="6" t="n">
        <x:v>784</x:v>
      </x:c>
      <x:c r="E541" s="6" t="n">
        <x:v>781</x:v>
      </x:c>
      <x:c r="F541" s="6" t="n">
        <x:v>3</x:v>
      </x:c>
      <x:c r="G541" s="6" t="n">
        <x:v>11</x:v>
      </x:c>
      <x:c r="H541" s="6" t="n">
        <x:v>114</x:v>
      </x:c>
      <x:c r="I541" s="6" t="n">
        <x:v>23310</x:v>
      </x:c>
      <x:c r="J541" s="11" t="n">
        <x:f>E541/D541</x:f>
        <x:v>0.9961734693877551</x:v>
      </x:c>
      <x:c r="K541" s="11" t="n">
        <x:f>F541/D541</x:f>
        <x:v>0.003826530612244898</x:v>
      </x:c>
      <x:c r="L541" s="13" t="n">
        <x:f>I541/D541</x:f>
        <x:v>29.732142857142858</x:v>
      </x:c>
      <x:c r="M541" s="6" t="str">
        <x:v>Included</x:v>
      </x:c>
    </x:row>
    <x:row r="542" ht="23" customHeight="1">
      <x:c r="B542" s="12" t="str">
        <x:v>7662</x:v>
      </x:c>
      <x:c r="C542" s="6" t="str">
        <x:v>Beaty Ave / Queen St W</x:v>
      </x:c>
      <x:c r="D542" s="6" t="n">
        <x:v>779</x:v>
      </x:c>
      <x:c r="E542" s="6" t="n">
        <x:v>654</x:v>
      </x:c>
      <x:c r="F542" s="6" t="n">
        <x:v>125</x:v>
      </x:c>
      <x:c r="G542" s="6" t="n">
        <x:v>11</x:v>
      </x:c>
      <x:c r="H542" s="6" t="n">
        <x:v>115</x:v>
      </x:c>
      <x:c r="I542" s="6" t="n">
        <x:v>2794</x:v>
      </x:c>
      <x:c r="J542" s="11" t="n">
        <x:f>E542/D542</x:f>
        <x:v>0.8395378690629012</x:v>
      </x:c>
      <x:c r="K542" s="11" t="n">
        <x:f>F542/D542</x:f>
        <x:v>0.16046213093709885</x:v>
      </x:c>
      <x:c r="L542" s="13" t="n">
        <x:f>I542/D542</x:f>
        <x:v>3.586649550706033</x:v>
      </x:c>
      <x:c r="M542" s="6" t="str">
        <x:v>Included</x:v>
      </x:c>
    </x:row>
    <x:row r="543" ht="23" customHeight="1">
      <x:c r="B543" s="12" t="str">
        <x:v>7663</x:v>
      </x:c>
      <x:c r="C543" s="6" t="str">
        <x:v>Kilgour Rd / Rumsey Rd</x:v>
      </x:c>
      <x:c r="D543" s="6" t="n">
        <x:v>789</x:v>
      </x:c>
      <x:c r="E543" s="6" t="n">
        <x:v>789</x:v>
      </x:c>
      <x:c r="F543" s="6" t="n">
        <x:v>0</x:v>
      </x:c>
      <x:c r="G543" s="6" t="n">
        <x:v>11</x:v>
      </x:c>
      <x:c r="H543" s="6" t="n">
        <x:v>114</x:v>
      </x:c>
      <x:c r="I543" s="6" t="n">
        <x:v>8596</x:v>
      </x:c>
      <x:c r="J543" s="11" t="n">
        <x:f>E543/D543</x:f>
        <x:v>1</x:v>
      </x:c>
      <x:c r="K543" s="11" t="n">
        <x:f>F543/D543</x:f>
        <x:v>0</x:v>
      </x:c>
      <x:c r="L543" s="13" t="n">
        <x:f>I543/D543</x:f>
        <x:v>10.894803548795943</x:v>
      </x:c>
      <x:c r="M543" s="6" t="str">
        <x:v>Included</x:v>
      </x:c>
    </x:row>
    <x:row r="544" ht="23" customHeight="1">
      <x:c r="B544" s="12" t="str">
        <x:v>7664</x:v>
      </x:c>
      <x:c r="C544" s="6" t="str">
        <x:v>Sunnybrook Health Centre - L Wing</x:v>
      </x:c>
      <x:c r="D544" s="6" t="n">
        <x:v>780</x:v>
      </x:c>
      <x:c r="E544" s="6" t="n">
        <x:v>734</x:v>
      </x:c>
      <x:c r="F544" s="6" t="n">
        <x:v>46</x:v>
      </x:c>
      <x:c r="G544" s="6" t="n">
        <x:v>11</x:v>
      </x:c>
      <x:c r="H544" s="6" t="n">
        <x:v>114</x:v>
      </x:c>
      <x:c r="I544" s="6" t="n">
        <x:v>6758</x:v>
      </x:c>
      <x:c r="J544" s="11" t="n">
        <x:f>E544/D544</x:f>
        <x:v>0.941025641025641</x:v>
      </x:c>
      <x:c r="K544" s="11" t="n">
        <x:f>F544/D544</x:f>
        <x:v>0.05897435897435897</x:v>
      </x:c>
      <x:c r="L544" s="13" t="n">
        <x:f>I544/D544</x:f>
        <x:v>8.664102564102564</x:v>
      </x:c>
      <x:c r="M544" s="6" t="str">
        <x:v>Included</x:v>
      </x:c>
    </x:row>
    <x:row r="545" ht="23" customHeight="1">
      <x:c r="B545" s="12" t="str">
        <x:v>7665</x:v>
      </x:c>
      <x:c r="C545" s="6" t="str">
        <x:v>Sunnybrook Health Centre - S Wing</x:v>
      </x:c>
      <x:c r="D545" s="6" t="n">
        <x:v>788</x:v>
      </x:c>
      <x:c r="E545" s="6" t="n">
        <x:v>642</x:v>
      </x:c>
      <x:c r="F545" s="6" t="n">
        <x:v>146</x:v>
      </x:c>
      <x:c r="G545" s="6" t="n">
        <x:v>11</x:v>
      </x:c>
      <x:c r="H545" s="6" t="n">
        <x:v>115</x:v>
      </x:c>
      <x:c r="I545" s="6" t="n">
        <x:v>4217</x:v>
      </x:c>
      <x:c r="J545" s="11" t="n">
        <x:f>E545/D545</x:f>
        <x:v>0.8147208121827412</x:v>
      </x:c>
      <x:c r="K545" s="11" t="n">
        <x:f>F545/D545</x:f>
        <x:v>0.18527918781725888</x:v>
      </x:c>
      <x:c r="L545" s="13" t="n">
        <x:f>I545/D545</x:f>
        <x:v>5.351522842639594</x:v>
      </x:c>
      <x:c r="M545" s="6" t="str">
        <x:v>Included</x:v>
      </x:c>
    </x:row>
    <x:row r="546" ht="23" customHeight="1">
      <x:c r="B546" s="12" t="str">
        <x:v>7666</x:v>
      </x:c>
      <x:c r="C546" s="6" t="str">
        <x:v>Dundas St W / St Helen's Ave - SMART</x:v>
      </x:c>
      <x:c r="D546" s="6" t="n">
        <x:v>789</x:v>
      </x:c>
      <x:c r="E546" s="6" t="n">
        <x:v>789</x:v>
      </x:c>
      <x:c r="F546" s="6" t="n">
        <x:v>0</x:v>
      </x:c>
      <x:c r="G546" s="6" t="n">
        <x:v>11</x:v>
      </x:c>
      <x:c r="H546" s="6" t="n">
        <x:v>114</x:v>
      </x:c>
      <x:c r="I546" s="6" t="n">
        <x:v>15406</x:v>
      </x:c>
      <x:c r="J546" s="11" t="n">
        <x:f>E546/D546</x:f>
        <x:v>1</x:v>
      </x:c>
      <x:c r="K546" s="11" t="n">
        <x:f>F546/D546</x:f>
        <x:v>0</x:v>
      </x:c>
      <x:c r="L546" s="13" t="n">
        <x:f>I546/D546</x:f>
        <x:v>19.525982256020278</x:v>
      </x:c>
      <x:c r="M546" s="6" t="str">
        <x:v>Included</x:v>
      </x:c>
    </x:row>
    <x:row r="547" ht="23" customHeight="1">
      <x:c r="B547" s="12" t="str">
        <x:v>7667</x:v>
      </x:c>
      <x:c r="C547" s="6" t="str">
        <x:v>Spadina Ave / Sussex Ave</x:v>
      </x:c>
      <x:c r="D547" s="6" t="n">
        <x:v>776</x:v>
      </x:c>
      <x:c r="E547" s="6" t="n">
        <x:v>776</x:v>
      </x:c>
      <x:c r="F547" s="6" t="n">
        <x:v>0</x:v>
      </x:c>
      <x:c r="G547" s="6" t="n">
        <x:v>11</x:v>
      </x:c>
      <x:c r="H547" s="6" t="n">
        <x:v>114</x:v>
      </x:c>
      <x:c r="I547" s="6" t="n">
        <x:v>8731</x:v>
      </x:c>
      <x:c r="J547" s="11" t="n">
        <x:f>E547/D547</x:f>
        <x:v>1</x:v>
      </x:c>
      <x:c r="K547" s="11" t="n">
        <x:f>F547/D547</x:f>
        <x:v>0</x:v>
      </x:c>
      <x:c r="L547" s="13" t="n">
        <x:f>I547/D547</x:f>
        <x:v>11.251288659793815</x:v>
      </x:c>
      <x:c r="M547" s="6" t="str">
        <x:v>Included</x:v>
      </x:c>
    </x:row>
    <x:row r="548" ht="23" customHeight="1">
      <x:c r="B548" s="12" t="str">
        <x:v>7668</x:v>
      </x:c>
      <x:c r="C548" s="6" t="str">
        <x:v>Simcoe St / Dundas St W</x:v>
      </x:c>
      <x:c r="D548" s="6" t="n">
        <x:v>793</x:v>
      </x:c>
      <x:c r="E548" s="6" t="n">
        <x:v>700</x:v>
      </x:c>
      <x:c r="F548" s="6" t="n">
        <x:v>93</x:v>
      </x:c>
      <x:c r="G548" s="6" t="n">
        <x:v>11</x:v>
      </x:c>
      <x:c r="H548" s="6" t="n">
        <x:v>115</x:v>
      </x:c>
      <x:c r="I548" s="6" t="n">
        <x:v>6036</x:v>
      </x:c>
      <x:c r="J548" s="11" t="n">
        <x:f>E548/D548</x:f>
        <x:v>0.8827238335435057</x:v>
      </x:c>
      <x:c r="K548" s="11" t="n">
        <x:f>F548/D548</x:f>
        <x:v>0.11727616645649433</x:v>
      </x:c>
      <x:c r="L548" s="13" t="n">
        <x:f>I548/D548</x:f>
        <x:v>7.611601513240857</x:v>
      </x:c>
      <x:c r="M548" s="6" t="str">
        <x:v>Included</x:v>
      </x:c>
    </x:row>
    <x:row r="549" ht="23" customHeight="1">
      <x:c r="B549" s="12" t="str">
        <x:v>7671</x:v>
      </x:c>
      <x:c r="C549" s="6" t="str">
        <x:v>Yonge St / Montgomery Ave - SMART</x:v>
      </x:c>
      <x:c r="D549" s="6" t="n">
        <x:v>787</x:v>
      </x:c>
      <x:c r="E549" s="6" t="n">
        <x:v>787</x:v>
      </x:c>
      <x:c r="F549" s="6" t="n">
        <x:v>0</x:v>
      </x:c>
      <x:c r="G549" s="6" t="n">
        <x:v>11</x:v>
      </x:c>
      <x:c r="H549" s="6" t="n">
        <x:v>115</x:v>
      </x:c>
      <x:c r="I549" s="6" t="n">
        <x:v>6855</x:v>
      </x:c>
      <x:c r="J549" s="11" t="n">
        <x:f>E549/D549</x:f>
        <x:v>1</x:v>
      </x:c>
      <x:c r="K549" s="11" t="n">
        <x:f>F549/D549</x:f>
        <x:v>0</x:v>
      </x:c>
      <x:c r="L549" s="13" t="n">
        <x:f>I549/D549</x:f>
        <x:v>8.710292249047013</x:v>
      </x:c>
      <x:c r="M549" s="6" t="str">
        <x:v>Included</x:v>
      </x:c>
    </x:row>
    <x:row r="550" ht="23" customHeight="1">
      <x:c r="B550" s="12" t="str">
        <x:v>7675</x:v>
      </x:c>
      <x:c r="C550" s="6" t="str">
        <x:v>1525 Dundas St W</x:v>
      </x:c>
      <x:c r="D550" s="6" t="n">
        <x:v>784</x:v>
      </x:c>
      <x:c r="E550" s="6" t="n">
        <x:v>716</x:v>
      </x:c>
      <x:c r="F550" s="6" t="n">
        <x:v>68</x:v>
      </x:c>
      <x:c r="G550" s="6" t="n">
        <x:v>11</x:v>
      </x:c>
      <x:c r="H550" s="6" t="n">
        <x:v>114</x:v>
      </x:c>
      <x:c r="I550" s="6" t="n">
        <x:v>3351</x:v>
      </x:c>
      <x:c r="J550" s="11" t="n">
        <x:f>E550/D550</x:f>
        <x:v>0.9132653061224489</x:v>
      </x:c>
      <x:c r="K550" s="11" t="n">
        <x:f>F550/D550</x:f>
        <x:v>0.08673469387755102</x:v>
      </x:c>
      <x:c r="L550" s="13" t="n">
        <x:f>I550/D550</x:f>
        <x:v>4.274234693877551</x:v>
      </x:c>
      <x:c r="M550" s="6" t="str">
        <x:v>Included</x:v>
      </x:c>
    </x:row>
    <x:row r="551" ht="23" customHeight="1">
      <x:c r="B551" s="12" t="str">
        <x:v>7676</x:v>
      </x:c>
      <x:c r="C551" s="6" t="str">
        <x:v>York University (Glendon Campus) - SMART</x:v>
      </x:c>
      <x:c r="D551" s="6" t="n">
        <x:v>794</x:v>
      </x:c>
      <x:c r="E551" s="6" t="n">
        <x:v>794</x:v>
      </x:c>
      <x:c r="F551" s="6" t="n">
        <x:v>0</x:v>
      </x:c>
      <x:c r="G551" s="6" t="n">
        <x:v>11</x:v>
      </x:c>
      <x:c r="H551" s="6" t="n">
        <x:v>114</x:v>
      </x:c>
      <x:c r="I551" s="6" t="n">
        <x:v>9635</x:v>
      </x:c>
      <x:c r="J551" s="11" t="n">
        <x:f>E551/D551</x:f>
        <x:v>1</x:v>
      </x:c>
      <x:c r="K551" s="11" t="n">
        <x:f>F551/D551</x:f>
        <x:v>0</x:v>
      </x:c>
      <x:c r="L551" s="13" t="n">
        <x:f>I551/D551</x:f>
        <x:v>12.134760705289672</x:v>
      </x:c>
      <x:c r="M551" s="6" t="str">
        <x:v>Included</x:v>
      </x:c>
    </x:row>
    <x:row r="552" ht="23" customHeight="1">
      <x:c r="B552" s="12" t="str">
        <x:v>7677</x:v>
      </x:c>
      <x:c r="C552" s="6" t="str">
        <x:v>1303 Yonge St - SMART</x:v>
      </x:c>
      <x:c r="D552" s="6" t="n">
        <x:v>780</x:v>
      </x:c>
      <x:c r="E552" s="6" t="n">
        <x:v>780</x:v>
      </x:c>
      <x:c r="F552" s="6" t="n">
        <x:v>0</x:v>
      </x:c>
      <x:c r="G552" s="6" t="n">
        <x:v>11</x:v>
      </x:c>
      <x:c r="H552" s="6" t="n">
        <x:v>114</x:v>
      </x:c>
      <x:c r="I552" s="6" t="n">
        <x:v>9936</x:v>
      </x:c>
      <x:c r="J552" s="11" t="n">
        <x:f>E552/D552</x:f>
        <x:v>1</x:v>
      </x:c>
      <x:c r="K552" s="11" t="n">
        <x:f>F552/D552</x:f>
        <x:v>0</x:v>
      </x:c>
      <x:c r="L552" s="13" t="n">
        <x:f>I552/D552</x:f>
        <x:v>12.738461538461538</x:v>
      </x:c>
      <x:c r="M552" s="6" t="str">
        <x:v>Included</x:v>
      </x:c>
    </x:row>
    <x:row r="553" ht="23" customHeight="1">
      <x:c r="B553" s="12" t="str">
        <x:v>7678</x:v>
      </x:c>
      <x:c r="C553" s="6" t="str">
        <x:v>York University Station (South) - SMART</x:v>
      </x:c>
      <x:c r="D553" s="6" t="n">
        <x:v>789</x:v>
      </x:c>
      <x:c r="E553" s="6" t="n">
        <x:v>789</x:v>
      </x:c>
      <x:c r="F553" s="6" t="n">
        <x:v>0</x:v>
      </x:c>
      <x:c r="G553" s="6" t="n">
        <x:v>11</x:v>
      </x:c>
      <x:c r="H553" s="6" t="n">
        <x:v>115</x:v>
      </x:c>
      <x:c r="I553" s="6" t="n">
        <x:v>9749</x:v>
      </x:c>
      <x:c r="J553" s="11" t="n">
        <x:f>E553/D553</x:f>
        <x:v>1</x:v>
      </x:c>
      <x:c r="K553" s="11" t="n">
        <x:f>F553/D553</x:f>
        <x:v>0</x:v>
      </x:c>
      <x:c r="L553" s="13" t="n">
        <x:f>I553/D553</x:f>
        <x:v>12.356147021546262</x:v>
      </x:c>
      <x:c r="M553" s="6" t="str">
        <x:v>Included</x:v>
      </x:c>
    </x:row>
    <x:row r="554" ht="23" customHeight="1">
      <x:c r="B554" s="12" t="str">
        <x:v>7679</x:v>
      </x:c>
      <x:c r="C554" s="6" t="str">
        <x:v>York University Station (North)</x:v>
      </x:c>
      <x:c r="D554" s="6" t="n">
        <x:v>793</x:v>
      </x:c>
      <x:c r="E554" s="6" t="n">
        <x:v>793</x:v>
      </x:c>
      <x:c r="F554" s="6" t="n">
        <x:v>0</x:v>
      </x:c>
      <x:c r="G554" s="6" t="n">
        <x:v>11</x:v>
      </x:c>
      <x:c r="H554" s="6" t="n">
        <x:v>115</x:v>
      </x:c>
      <x:c r="I554" s="6" t="n">
        <x:v>9107</x:v>
      </x:c>
      <x:c r="J554" s="11" t="n">
        <x:f>E554/D554</x:f>
        <x:v>1</x:v>
      </x:c>
      <x:c r="K554" s="11" t="n">
        <x:f>F554/D554</x:f>
        <x:v>0</x:v>
      </x:c>
      <x:c r="L554" s="13" t="n">
        <x:f>I554/D554</x:f>
        <x:v>11.484237074401008</x:v>
      </x:c>
      <x:c r="M554" s="6" t="str">
        <x:v>Included</x:v>
      </x:c>
    </x:row>
    <x:row r="555" ht="23" customHeight="1">
      <x:c r="B555" s="12" t="str">
        <x:v>7681</x:v>
      </x:c>
      <x:c r="C555" s="6" t="str">
        <x:v>25 Booth Ave</x:v>
      </x:c>
      <x:c r="D555" s="6" t="n">
        <x:v>793</x:v>
      </x:c>
      <x:c r="E555" s="6" t="n">
        <x:v>783</x:v>
      </x:c>
      <x:c r="F555" s="6" t="n">
        <x:v>10</x:v>
      </x:c>
      <x:c r="G555" s="6" t="n">
        <x:v>11</x:v>
      </x:c>
      <x:c r="H555" s="6" t="n">
        <x:v>115</x:v>
      </x:c>
      <x:c r="I555" s="6" t="n">
        <x:v>7544</x:v>
      </x:c>
      <x:c r="J555" s="11" t="n">
        <x:f>E555/D555</x:f>
        <x:v>0.987389659520807</x:v>
      </x:c>
      <x:c r="K555" s="11" t="n">
        <x:f>F555/D555</x:f>
        <x:v>0.012610340479192938</x:v>
      </x:c>
      <x:c r="L555" s="13" t="n">
        <x:f>I555/D555</x:f>
        <x:v>9.513240857503153</x:v>
      </x:c>
      <x:c r="M555" s="6" t="str">
        <x:v>Included</x:v>
      </x:c>
    </x:row>
    <x:row r="556" ht="23" customHeight="1">
      <x:c r="B556" s="12" t="str">
        <x:v>7682</x:v>
      </x:c>
      <x:c r="C556" s="6" t="str">
        <x:v>Bathurst St / Front St W</x:v>
      </x:c>
      <x:c r="D556" s="6" t="n">
        <x:v>785</x:v>
      </x:c>
      <x:c r="E556" s="6" t="n">
        <x:v>632</x:v>
      </x:c>
      <x:c r="F556" s="6" t="n">
        <x:v>153</x:v>
      </x:c>
      <x:c r="G556" s="6" t="n">
        <x:v>11</x:v>
      </x:c>
      <x:c r="H556" s="6" t="n">
        <x:v>115</x:v>
      </x:c>
      <x:c r="I556" s="6" t="n">
        <x:v>8453</x:v>
      </x:c>
      <x:c r="J556" s="11" t="n">
        <x:f>E556/D556</x:f>
        <x:v>0.8050955414012739</x:v>
      </x:c>
      <x:c r="K556" s="11" t="n">
        <x:f>F556/D556</x:f>
        <x:v>0.19490445859872613</x:v>
      </x:c>
      <x:c r="L556" s="13" t="n">
        <x:f>I556/D556</x:f>
        <x:v>10.768152866242039</x:v>
      </x:c>
      <x:c r="M556" s="6" t="str">
        <x:v>Included</x:v>
      </x:c>
    </x:row>
    <x:row r="557" ht="23" customHeight="1">
      <x:c r="B557" s="12" t="str">
        <x:v>7684</x:v>
      </x:c>
      <x:c r="C557" s="6" t="str">
        <x:v>Bay St / Harbour St</x:v>
      </x:c>
      <x:c r="D557" s="6" t="n">
        <x:v>788</x:v>
      </x:c>
      <x:c r="E557" s="6" t="n">
        <x:v>719</x:v>
      </x:c>
      <x:c r="F557" s="6" t="n">
        <x:v>69</x:v>
      </x:c>
      <x:c r="G557" s="6" t="n">
        <x:v>11</x:v>
      </x:c>
      <x:c r="H557" s="6" t="n">
        <x:v>115</x:v>
      </x:c>
      <x:c r="I557" s="6" t="n">
        <x:v>5944</x:v>
      </x:c>
      <x:c r="J557" s="11" t="n">
        <x:f>E557/D557</x:f>
        <x:v>0.9124365482233503</x:v>
      </x:c>
      <x:c r="K557" s="11" t="n">
        <x:f>F557/D557</x:f>
        <x:v>0.08756345177664974</x:v>
      </x:c>
      <x:c r="L557" s="13" t="n">
        <x:f>I557/D557</x:f>
        <x:v>7.543147208121828</x:v>
      </x:c>
      <x:c r="M557" s="6" t="str">
        <x:v>Included</x:v>
      </x:c>
    </x:row>
    <x:row r="558" ht="23" customHeight="1">
      <x:c r="B558" s="12" t="str">
        <x:v>7685</x:v>
      </x:c>
      <x:c r="C558" s="6" t="str">
        <x:v>King St W / Brant St</x:v>
      </x:c>
      <x:c r="D558" s="6" t="n">
        <x:v>767</x:v>
      </x:c>
      <x:c r="E558" s="6" t="n">
        <x:v>724</x:v>
      </x:c>
      <x:c r="F558" s="6" t="n">
        <x:v>43</x:v>
      </x:c>
      <x:c r="G558" s="6" t="n">
        <x:v>11</x:v>
      </x:c>
      <x:c r="H558" s="6" t="n">
        <x:v>115</x:v>
      </x:c>
      <x:c r="I558" s="6" t="n">
        <x:v>6175</x:v>
      </x:c>
      <x:c r="J558" s="11" t="n">
        <x:f>E558/D558</x:f>
        <x:v>0.9439374185136897</x:v>
      </x:c>
      <x:c r="K558" s="11" t="n">
        <x:f>F558/D558</x:f>
        <x:v>0.0560625814863103</x:v>
      </x:c>
      <x:c r="L558" s="13" t="n">
        <x:f>I558/D558</x:f>
        <x:v>8.05084745762712</x:v>
      </x:c>
      <x:c r="M558" s="6" t="str">
        <x:v>Included</x:v>
      </x:c>
    </x:row>
    <x:row r="559" ht="23" customHeight="1">
      <x:c r="B559" s="12" t="str">
        <x:v>7686</x:v>
      </x:c>
      <x:c r="C559" s="6" t="str">
        <x:v>Lower Jarvis St / The Esplanade</x:v>
      </x:c>
      <x:c r="D559" s="6" t="n">
        <x:v>779</x:v>
      </x:c>
      <x:c r="E559" s="6" t="n">
        <x:v>490</x:v>
      </x:c>
      <x:c r="F559" s="6" t="n">
        <x:v>289</x:v>
      </x:c>
      <x:c r="G559" s="6" t="n">
        <x:v>11</x:v>
      </x:c>
      <x:c r="H559" s="6" t="n">
        <x:v>114</x:v>
      </x:c>
      <x:c r="I559" s="6" t="n">
        <x:v>1724</x:v>
      </x:c>
      <x:c r="J559" s="11" t="n">
        <x:f>E559/D559</x:f>
        <x:v>0.6290115532734275</x:v>
      </x:c>
      <x:c r="K559" s="11" t="n">
        <x:f>F559/D559</x:f>
        <x:v>0.37098844672657255</x:v>
      </x:c>
      <x:c r="L559" s="13" t="n">
        <x:f>I559/D559</x:f>
        <x:v>2.2130937098844674</x:v>
      </x:c>
      <x:c r="M559" s="6" t="str">
        <x:v>Included</x:v>
      </x:c>
    </x:row>
    <x:row r="560" ht="23" customHeight="1">
      <x:c r="B560" s="12" t="str">
        <x:v>7687</x:v>
      </x:c>
      <x:c r="C560" s="6" t="str">
        <x:v>Bloor St W / Gladstone Ave - SMART</x:v>
      </x:c>
      <x:c r="D560" s="6" t="n">
        <x:v>783</x:v>
      </x:c>
      <x:c r="E560" s="6" t="n">
        <x:v>783</x:v>
      </x:c>
      <x:c r="F560" s="6" t="n">
        <x:v>0</x:v>
      </x:c>
      <x:c r="G560" s="6" t="n">
        <x:v>11</x:v>
      </x:c>
      <x:c r="H560" s="6" t="n">
        <x:v>114</x:v>
      </x:c>
      <x:c r="I560" s="6" t="n">
        <x:v>7371</x:v>
      </x:c>
      <x:c r="J560" s="11" t="n">
        <x:f>E560/D560</x:f>
        <x:v>1</x:v>
      </x:c>
      <x:c r="K560" s="11" t="n">
        <x:f>F560/D560</x:f>
        <x:v>0</x:v>
      </x:c>
      <x:c r="L560" s="13" t="n">
        <x:f>I560/D560</x:f>
        <x:v>9.413793103448276</x:v>
      </x:c>
      <x:c r="M560" s="6" t="str">
        <x:v>Included</x:v>
      </x:c>
    </x:row>
    <x:row r="561" ht="23" customHeight="1">
      <x:c r="B561" s="12" t="str">
        <x:v>7688</x:v>
      </x:c>
      <x:c r="C561" s="6" t="str">
        <x:v>High Park Blvd / Parkside Dr</x:v>
      </x:c>
      <x:c r="D561" s="6" t="n">
        <x:v>793</x:v>
      </x:c>
      <x:c r="E561" s="6" t="n">
        <x:v>735</x:v>
      </x:c>
      <x:c r="F561" s="6" t="n">
        <x:v>58</x:v>
      </x:c>
      <x:c r="G561" s="6" t="n">
        <x:v>11</x:v>
      </x:c>
      <x:c r="H561" s="6" t="n">
        <x:v>113</x:v>
      </x:c>
      <x:c r="I561" s="6" t="n">
        <x:v>3394</x:v>
      </x:c>
      <x:c r="J561" s="11" t="n">
        <x:f>E561/D561</x:f>
        <x:v>0.926860025220681</x:v>
      </x:c>
      <x:c r="K561" s="11" t="n">
        <x:f>F561/D561</x:f>
        <x:v>0.07313997477931904</x:v>
      </x:c>
      <x:c r="L561" s="13" t="n">
        <x:f>I561/D561</x:f>
        <x:v>4.279949558638084</x:v>
      </x:c>
      <x:c r="M561" s="6" t="str">
        <x:v>Included</x:v>
      </x:c>
    </x:row>
    <x:row r="562" ht="23" customHeight="1">
      <x:c r="B562" s="12" t="str">
        <x:v>7691</x:v>
      </x:c>
      <x:c r="C562" s="6" t="str">
        <x:v>Christie St / Dupont St</x:v>
      </x:c>
      <x:c r="D562" s="6" t="n">
        <x:v>790</x:v>
      </x:c>
      <x:c r="E562" s="6" t="n">
        <x:v>790</x:v>
      </x:c>
      <x:c r="F562" s="6" t="n">
        <x:v>0</x:v>
      </x:c>
      <x:c r="G562" s="6" t="n">
        <x:v>11</x:v>
      </x:c>
      <x:c r="H562" s="6" t="n">
        <x:v>114</x:v>
      </x:c>
      <x:c r="I562" s="6" t="n">
        <x:v>12624</x:v>
      </x:c>
      <x:c r="J562" s="11" t="n">
        <x:f>E562/D562</x:f>
        <x:v>1</x:v>
      </x:c>
      <x:c r="K562" s="11" t="n">
        <x:f>F562/D562</x:f>
        <x:v>0</x:v>
      </x:c>
      <x:c r="L562" s="13" t="n">
        <x:f>I562/D562</x:f>
        <x:v>15.979746835443038</x:v>
      </x:c>
      <x:c r="M562" s="6" t="str">
        <x:v>Included</x:v>
      </x:c>
    </x:row>
    <x:row r="563" ht="23" customHeight="1">
      <x:c r="B563" s="12" t="str">
        <x:v>7692</x:v>
      </x:c>
      <x:c r="C563" s="6" t="str">
        <x:v>85 Lee Ave</x:v>
      </x:c>
      <x:c r="D563" s="6" t="n">
        <x:v>786</x:v>
      </x:c>
      <x:c r="E563" s="6" t="n">
        <x:v>503</x:v>
      </x:c>
      <x:c r="F563" s="6" t="n">
        <x:v>283</x:v>
      </x:c>
      <x:c r="G563" s="6" t="n">
        <x:v>11</x:v>
      </x:c>
      <x:c r="H563" s="6" t="n">
        <x:v>115</x:v>
      </x:c>
      <x:c r="I563" s="6" t="n">
        <x:v>2098</x:v>
      </x:c>
      <x:c r="J563" s="11" t="n">
        <x:f>E563/D563</x:f>
        <x:v>0.6399491094147582</x:v>
      </x:c>
      <x:c r="K563" s="11" t="n">
        <x:f>F563/D563</x:f>
        <x:v>0.36005089058524176</x:v>
      </x:c>
      <x:c r="L563" s="13" t="n">
        <x:f>I563/D563</x:f>
        <x:v>2.669211195928753</x:v>
      </x:c>
      <x:c r="M563" s="6" t="str">
        <x:v>Included</x:v>
      </x:c>
    </x:row>
    <x:row r="564" ht="23" customHeight="1">
      <x:c r="B564" s="12" t="str">
        <x:v>7693</x:v>
      </x:c>
      <x:c r="C564" s="6" t="str">
        <x:v>Mutual St / Shuter St</x:v>
      </x:c>
      <x:c r="D564" s="6" t="n">
        <x:v>795</x:v>
      </x:c>
      <x:c r="E564" s="6" t="n">
        <x:v>626</x:v>
      </x:c>
      <x:c r="F564" s="6" t="n">
        <x:v>169</x:v>
      </x:c>
      <x:c r="G564" s="6" t="n">
        <x:v>11</x:v>
      </x:c>
      <x:c r="H564" s="6" t="n">
        <x:v>115</x:v>
      </x:c>
      <x:c r="I564" s="6" t="n">
        <x:v>9694</x:v>
      </x:c>
      <x:c r="J564" s="11" t="n">
        <x:f>E564/D564</x:f>
        <x:v>0.7874213836477988</x:v>
      </x:c>
      <x:c r="K564" s="11" t="n">
        <x:f>F564/D564</x:f>
        <x:v>0.21257861635220127</x:v>
      </x:c>
      <x:c r="L564" s="13" t="n">
        <x:f>I564/D564</x:f>
        <x:v>12.193710691823899</x:v>
      </x:c>
      <x:c r="M564" s="6" t="str">
        <x:v>Included</x:v>
      </x:c>
    </x:row>
    <x:row r="565" ht="23" customHeight="1">
      <x:c r="B565" s="12" t="str">
        <x:v>7694</x:v>
      </x:c>
      <x:c r="C565" s="6" t="str">
        <x:v>Victoria Park Ave / Dawes Rd</x:v>
      </x:c>
      <x:c r="D565" s="6" t="n">
        <x:v>780</x:v>
      </x:c>
      <x:c r="E565" s="6" t="n">
        <x:v>780</x:v>
      </x:c>
      <x:c r="F565" s="6" t="n">
        <x:v>0</x:v>
      </x:c>
      <x:c r="G565" s="6" t="n">
        <x:v>11</x:v>
      </x:c>
      <x:c r="H565" s="6" t="n">
        <x:v>115</x:v>
      </x:c>
      <x:c r="I565" s="6" t="n">
        <x:v>14292</x:v>
      </x:c>
      <x:c r="J565" s="11" t="n">
        <x:f>E565/D565</x:f>
        <x:v>1</x:v>
      </x:c>
      <x:c r="K565" s="11" t="n">
        <x:f>F565/D565</x:f>
        <x:v>0</x:v>
      </x:c>
      <x:c r="L565" s="13" t="n">
        <x:f>I565/D565</x:f>
        <x:v>18.323076923076922</x:v>
      </x:c>
      <x:c r="M565" s="6" t="str">
        <x:v>Included</x:v>
      </x:c>
    </x:row>
    <x:row r="566" ht="23" customHeight="1">
      <x:c r="B566" s="12" t="str">
        <x:v>7695</x:v>
      </x:c>
      <x:c r="C566" s="6" t="str">
        <x:v>Queen St E / Joseph Duggan Rd</x:v>
      </x:c>
      <x:c r="D566" s="6" t="n">
        <x:v>796</x:v>
      </x:c>
      <x:c r="E566" s="6" t="n">
        <x:v>420</x:v>
      </x:c>
      <x:c r="F566" s="6" t="n">
        <x:v>376</x:v>
      </x:c>
      <x:c r="G566" s="6" t="n">
        <x:v>11</x:v>
      </x:c>
      <x:c r="H566" s="6" t="n">
        <x:v>114</x:v>
      </x:c>
      <x:c r="I566" s="6" t="n">
        <x:v>879</x:v>
      </x:c>
      <x:c r="J566" s="11" t="n">
        <x:f>E566/D566</x:f>
        <x:v>0.5276381909547738</x:v>
      </x:c>
      <x:c r="K566" s="11" t="n">
        <x:f>F566/D566</x:f>
        <x:v>0.4723618090452261</x:v>
      </x:c>
      <x:c r="L566" s="13" t="n">
        <x:f>I566/D566</x:f>
        <x:v>1.1042713567839195</x:v>
      </x:c>
      <x:c r="M566" s="6" t="str">
        <x:v>Included</x:v>
      </x:c>
    </x:row>
    <x:row r="567" ht="23" customHeight="1">
      <x:c r="B567" s="12" t="str">
        <x:v>7696</x:v>
      </x:c>
      <x:c r="C567" s="6" t="str">
        <x:v>Heyworth Cres / Kingston Rd</x:v>
      </x:c>
      <x:c r="D567" s="6" t="n">
        <x:v>785</x:v>
      </x:c>
      <x:c r="E567" s="6" t="n">
        <x:v>518</x:v>
      </x:c>
      <x:c r="F567" s="6" t="n">
        <x:v>267</x:v>
      </x:c>
      <x:c r="G567" s="6" t="n">
        <x:v>11</x:v>
      </x:c>
      <x:c r="H567" s="6" t="n">
        <x:v>114</x:v>
      </x:c>
      <x:c r="I567" s="6" t="n">
        <x:v>2587</x:v>
      </x:c>
      <x:c r="J567" s="11" t="n">
        <x:f>E567/D567</x:f>
        <x:v>0.6598726114649681</x:v>
      </x:c>
      <x:c r="K567" s="11" t="n">
        <x:f>F567/D567</x:f>
        <x:v>0.3401273885350318</x:v>
      </x:c>
      <x:c r="L567" s="13" t="n">
        <x:f>I567/D567</x:f>
        <x:v>3.2955414012738853</x:v>
      </x:c>
      <x:c r="M567" s="6" t="str">
        <x:v>Included</x:v>
      </x:c>
    </x:row>
    <x:row r="568" ht="23" customHeight="1">
      <x:c r="B568" s="12" t="str">
        <x:v>7698</x:v>
      </x:c>
      <x:c r="C568" s="6" t="str">
        <x:v>St. Clair Ave W / Caledonia Rd</x:v>
      </x:c>
      <x:c r="D568" s="6" t="n">
        <x:v>785</x:v>
      </x:c>
      <x:c r="E568" s="6" t="n">
        <x:v>785</x:v>
      </x:c>
      <x:c r="F568" s="6" t="n">
        <x:v>0</x:v>
      </x:c>
      <x:c r="G568" s="6" t="n">
        <x:v>11</x:v>
      </x:c>
      <x:c r="H568" s="6" t="n">
        <x:v>114</x:v>
      </x:c>
      <x:c r="I568" s="6" t="n">
        <x:v>7184</x:v>
      </x:c>
      <x:c r="J568" s="11" t="n">
        <x:f>E568/D568</x:f>
        <x:v>1</x:v>
      </x:c>
      <x:c r="K568" s="11" t="n">
        <x:f>F568/D568</x:f>
        <x:v>0</x:v>
      </x:c>
      <x:c r="L568" s="13" t="n">
        <x:f>I568/D568</x:f>
        <x:v>9.151592356687898</x:v>
      </x:c>
      <x:c r="M568" s="6" t="str">
        <x:v>Included</x:v>
      </x:c>
    </x:row>
    <x:row r="569" ht="23" customHeight="1">
      <x:c r="B569" s="12" t="str">
        <x:v>7699</x:v>
      </x:c>
      <x:c r="C569" s="6" t="str">
        <x:v>St Clair Ave W / Oakwood Ave</x:v>
      </x:c>
      <x:c r="D569" s="6" t="n">
        <x:v>785</x:v>
      </x:c>
      <x:c r="E569" s="6" t="n">
        <x:v>785</x:v>
      </x:c>
      <x:c r="F569" s="6" t="n">
        <x:v>0</x:v>
      </x:c>
      <x:c r="G569" s="6" t="n">
        <x:v>11</x:v>
      </x:c>
      <x:c r="H569" s="6" t="n">
        <x:v>115</x:v>
      </x:c>
      <x:c r="I569" s="6" t="n">
        <x:v>10463</x:v>
      </x:c>
      <x:c r="J569" s="11" t="n">
        <x:f>E569/D569</x:f>
        <x:v>1</x:v>
      </x:c>
      <x:c r="K569" s="11" t="n">
        <x:f>F569/D569</x:f>
        <x:v>0</x:v>
      </x:c>
      <x:c r="L569" s="13" t="n">
        <x:f>I569/D569</x:f>
        <x:v>13.328662420382166</x:v>
      </x:c>
      <x:c r="M569" s="6" t="str">
        <x:v>Included</x:v>
      </x:c>
    </x:row>
    <x:row r="570" ht="23" customHeight="1">
      <x:c r="B570" s="12" t="str">
        <x:v>7700</x:v>
      </x:c>
      <x:c r="C570" s="6" t="str">
        <x:v>St. Clair Ave W / Robina Ave</x:v>
      </x:c>
      <x:c r="D570" s="6" t="n">
        <x:v>790</x:v>
      </x:c>
      <x:c r="E570" s="6" t="n">
        <x:v>790</x:v>
      </x:c>
      <x:c r="F570" s="6" t="n">
        <x:v>0</x:v>
      </x:c>
      <x:c r="G570" s="6" t="n">
        <x:v>11</x:v>
      </x:c>
      <x:c r="H570" s="6" t="n">
        <x:v>114</x:v>
      </x:c>
      <x:c r="I570" s="6" t="n">
        <x:v>8869</x:v>
      </x:c>
      <x:c r="J570" s="11" t="n">
        <x:f>E570/D570</x:f>
        <x:v>1</x:v>
      </x:c>
      <x:c r="K570" s="11" t="n">
        <x:f>F570/D570</x:f>
        <x:v>0</x:v>
      </x:c>
      <x:c r="L570" s="13" t="n">
        <x:f>I570/D570</x:f>
        <x:v>11.226582278481013</x:v>
      </x:c>
      <x:c r="M570" s="6" t="str">
        <x:v>Included</x:v>
      </x:c>
    </x:row>
    <x:row r="571" ht="23" customHeight="1">
      <x:c r="B571" s="12" t="str">
        <x:v>7701</x:v>
      </x:c>
      <x:c r="C571" s="6" t="str">
        <x:v>Roncesvalles Ave / Fermanagh Ave</x:v>
      </x:c>
      <x:c r="D571" s="6" t="n">
        <x:v>782</x:v>
      </x:c>
      <x:c r="E571" s="6" t="n">
        <x:v>771</x:v>
      </x:c>
      <x:c r="F571" s="6" t="n">
        <x:v>11</x:v>
      </x:c>
      <x:c r="G571" s="6" t="n">
        <x:v>11</x:v>
      </x:c>
      <x:c r="H571" s="6" t="n">
        <x:v>115</x:v>
      </x:c>
      <x:c r="I571" s="6" t="n">
        <x:v>6839</x:v>
      </x:c>
      <x:c r="J571" s="11" t="n">
        <x:f>E571/D571</x:f>
        <x:v>0.9859335038363172</x:v>
      </x:c>
      <x:c r="K571" s="11" t="n">
        <x:f>F571/D571</x:f>
        <x:v>0.014066496163682864</x:v>
      </x:c>
      <x:c r="L571" s="13" t="n">
        <x:f>I571/D571</x:f>
        <x:v>8.745524296675192</x:v>
      </x:c>
      <x:c r="M571" s="6" t="str">
        <x:v>Included</x:v>
      </x:c>
    </x:row>
    <x:row r="572" ht="23" customHeight="1">
      <x:c r="B572" s="12" t="str">
        <x:v>7702</x:v>
      </x:c>
      <x:c r="C572" s="6" t="str">
        <x:v>111 Broadview Ave</x:v>
      </x:c>
      <x:c r="D572" s="6" t="n">
        <x:v>779</x:v>
      </x:c>
      <x:c r="E572" s="6" t="n">
        <x:v>595</x:v>
      </x:c>
      <x:c r="F572" s="6" t="n">
        <x:v>184</x:v>
      </x:c>
      <x:c r="G572" s="6" t="n">
        <x:v>11</x:v>
      </x:c>
      <x:c r="H572" s="6" t="n">
        <x:v>114</x:v>
      </x:c>
      <x:c r="I572" s="6" t="n">
        <x:v>3526</x:v>
      </x:c>
      <x:c r="J572" s="11" t="n">
        <x:f>E572/D572</x:f>
        <x:v>0.7637997432605905</x:v>
      </x:c>
      <x:c r="K572" s="11" t="n">
        <x:f>F572/D572</x:f>
        <x:v>0.2362002567394095</x:v>
      </x:c>
      <x:c r="L572" s="13" t="n">
        <x:f>I572/D572</x:f>
        <x:v>4.526315789473684</x:v>
      </x:c>
      <x:c r="M572" s="6" t="str">
        <x:v>Included</x:v>
      </x:c>
    </x:row>
    <x:row r="573" ht="23" customHeight="1">
      <x:c r="B573" s="12" t="str">
        <x:v>7704</x:v>
      </x:c>
      <x:c r="C573" s="6" t="str">
        <x:v>24 Mountjoy Ave</x:v>
      </x:c>
      <x:c r="D573" s="6" t="n">
        <x:v>780</x:v>
      </x:c>
      <x:c r="E573" s="6" t="n">
        <x:v>780</x:v>
      </x:c>
      <x:c r="F573" s="6" t="n">
        <x:v>0</x:v>
      </x:c>
      <x:c r="G573" s="6" t="n">
        <x:v>11</x:v>
      </x:c>
      <x:c r="H573" s="6" t="n">
        <x:v>115</x:v>
      </x:c>
      <x:c r="I573" s="6" t="n">
        <x:v>13914</x:v>
      </x:c>
      <x:c r="J573" s="11" t="n">
        <x:f>E573/D573</x:f>
        <x:v>1</x:v>
      </x:c>
      <x:c r="K573" s="11" t="n">
        <x:f>F573/D573</x:f>
        <x:v>0</x:v>
      </x:c>
      <x:c r="L573" s="13" t="n">
        <x:f>I573/D573</x:f>
        <x:v>17.838461538461537</x:v>
      </x:c>
      <x:c r="M573" s="6" t="str">
        <x:v>Included</x:v>
      </x:c>
    </x:row>
    <x:row r="574" ht="23" customHeight="1">
      <x:c r="B574" s="12" t="str">
        <x:v>7705</x:v>
      </x:c>
      <x:c r="C574" s="6" t="str">
        <x:v>Colgate Ave / Carlaw Ave</x:v>
      </x:c>
      <x:c r="D574" s="6" t="n">
        <x:v>786</x:v>
      </x:c>
      <x:c r="E574" s="6" t="n">
        <x:v>500</x:v>
      </x:c>
      <x:c r="F574" s="6" t="n">
        <x:v>286</x:v>
      </x:c>
      <x:c r="G574" s="6" t="n">
        <x:v>11</x:v>
      </x:c>
      <x:c r="H574" s="6" t="n">
        <x:v>115</x:v>
      </x:c>
      <x:c r="I574" s="6" t="n">
        <x:v>1931</x:v>
      </x:c>
      <x:c r="J574" s="11" t="n">
        <x:f>E574/D574</x:f>
        <x:v>0.6361323155216285</x:v>
      </x:c>
      <x:c r="K574" s="11" t="n">
        <x:f>F574/D574</x:f>
        <x:v>0.3638676844783715</x:v>
      </x:c>
      <x:c r="L574" s="13" t="n">
        <x:f>I574/D574</x:f>
        <x:v>2.4567430025445294</x:v>
      </x:c>
      <x:c r="M574" s="6" t="str">
        <x:v>Included</x:v>
      </x:c>
    </x:row>
    <x:row r="575" ht="23" customHeight="1">
      <x:c r="B575" s="12" t="str">
        <x:v>7706</x:v>
      </x:c>
      <x:c r="C575" s="6" t="str">
        <x:v>Felstead Ave/Gillard Ave (Monarch Park)</x:v>
      </x:c>
      <x:c r="D575" s="6" t="n">
        <x:v>789</x:v>
      </x:c>
      <x:c r="E575" s="6" t="n">
        <x:v>789</x:v>
      </x:c>
      <x:c r="F575" s="6" t="n">
        <x:v>0</x:v>
      </x:c>
      <x:c r="G575" s="6" t="n">
        <x:v>11</x:v>
      </x:c>
      <x:c r="H575" s="6" t="n">
        <x:v>114</x:v>
      </x:c>
      <x:c r="I575" s="6" t="n">
        <x:v>17378</x:v>
      </x:c>
      <x:c r="J575" s="11" t="n">
        <x:f>E575/D575</x:f>
        <x:v>1</x:v>
      </x:c>
      <x:c r="K575" s="11" t="n">
        <x:f>F575/D575</x:f>
        <x:v>0</x:v>
      </x:c>
      <x:c r="L575" s="13" t="n">
        <x:f>I575/D575</x:f>
        <x:v>22.025348542458808</x:v>
      </x:c>
      <x:c r="M575" s="6" t="str">
        <x:v>Included</x:v>
      </x:c>
    </x:row>
    <x:row r="576" ht="23" customHeight="1">
      <x:c r="B576" s="12" t="str">
        <x:v>7707</x:v>
      </x:c>
      <x:c r="C576" s="6" t="str">
        <x:v>Coronation Park (Martin Goodman Trail)</x:v>
      </x:c>
      <x:c r="D576" s="6" t="n">
        <x:v>783</x:v>
      </x:c>
      <x:c r="E576" s="6" t="n">
        <x:v>648</x:v>
      </x:c>
      <x:c r="F576" s="6" t="n">
        <x:v>135</x:v>
      </x:c>
      <x:c r="G576" s="6" t="n">
        <x:v>11</x:v>
      </x:c>
      <x:c r="H576" s="6" t="n">
        <x:v>115</x:v>
      </x:c>
      <x:c r="I576" s="6" t="n">
        <x:v>4529</x:v>
      </x:c>
      <x:c r="J576" s="11" t="n">
        <x:f>E576/D576</x:f>
        <x:v>0.8275862068965517</x:v>
      </x:c>
      <x:c r="K576" s="11" t="n">
        <x:f>F576/D576</x:f>
        <x:v>0.1724137931034483</x:v>
      </x:c>
      <x:c r="L576" s="13" t="n">
        <x:f>I576/D576</x:f>
        <x:v>5.784163473818646</x:v>
      </x:c>
      <x:c r="M576" s="6" t="str">
        <x:v>Included</x:v>
      </x:c>
    </x:row>
    <x:row r="577" ht="23" customHeight="1">
      <x:c r="B577" s="12" t="str">
        <x:v>7708</x:v>
      </x:c>
      <x:c r="C577" s="6" t="str">
        <x:v>101 Cedarvale Ave</x:v>
      </x:c>
      <x:c r="D577" s="6" t="n">
        <x:v>795</x:v>
      </x:c>
      <x:c r="E577" s="6" t="n">
        <x:v>791</x:v>
      </x:c>
      <x:c r="F577" s="6" t="n">
        <x:v>4</x:v>
      </x:c>
      <x:c r="G577" s="6" t="n">
        <x:v>11</x:v>
      </x:c>
      <x:c r="H577" s="6" t="n">
        <x:v>115</x:v>
      </x:c>
      <x:c r="I577" s="6" t="n">
        <x:v>10081</x:v>
      </x:c>
      <x:c r="J577" s="11" t="n">
        <x:f>E577/D577</x:f>
        <x:v>0.9949685534591195</x:v>
      </x:c>
      <x:c r="K577" s="11" t="n">
        <x:f>F577/D577</x:f>
        <x:v>0.005031446540880503</x:v>
      </x:c>
      <x:c r="L577" s="13" t="n">
        <x:f>I577/D577</x:f>
        <x:v>12.680503144654088</x:v>
      </x:c>
      <x:c r="M577" s="6" t="str">
        <x:v>Included</x:v>
      </x:c>
    </x:row>
    <x:row r="578" ht="23" customHeight="1">
      <x:c r="B578" s="12" t="str">
        <x:v>7709</x:v>
      </x:c>
      <x:c r="C578" s="6" t="str">
        <x:v>Beltline Trail / Yonge St</x:v>
      </x:c>
      <x:c r="D578" s="6" t="n">
        <x:v>785</x:v>
      </x:c>
      <x:c r="E578" s="6" t="n">
        <x:v>785</x:v>
      </x:c>
      <x:c r="F578" s="6" t="n">
        <x:v>0</x:v>
      </x:c>
      <x:c r="G578" s="6" t="n">
        <x:v>11</x:v>
      </x:c>
      <x:c r="H578" s="6" t="n">
        <x:v>115</x:v>
      </x:c>
      <x:c r="I578" s="6" t="n">
        <x:v>14499</x:v>
      </x:c>
      <x:c r="J578" s="11" t="n">
        <x:f>E578/D578</x:f>
        <x:v>1</x:v>
      </x:c>
      <x:c r="K578" s="11" t="n">
        <x:f>F578/D578</x:f>
        <x:v>0</x:v>
      </x:c>
      <x:c r="L578" s="13" t="n">
        <x:f>I578/D578</x:f>
        <x:v>18.470063694267516</x:v>
      </x:c>
      <x:c r="M578" s="6" t="str">
        <x:v>Included</x:v>
      </x:c>
    </x:row>
    <x:row r="579" ht="23" customHeight="1">
      <x:c r="B579" s="12" t="str">
        <x:v>7710</x:v>
      </x:c>
      <x:c r="C579" s="6" t="str">
        <x:v>11 Spadina Rd</x:v>
      </x:c>
      <x:c r="D579" s="6" t="n">
        <x:v>793</x:v>
      </x:c>
      <x:c r="E579" s="6" t="n">
        <x:v>723</x:v>
      </x:c>
      <x:c r="F579" s="6" t="n">
        <x:v>70</x:v>
      </x:c>
      <x:c r="G579" s="6" t="n">
        <x:v>11</x:v>
      </x:c>
      <x:c r="H579" s="6" t="n">
        <x:v>116</x:v>
      </x:c>
      <x:c r="I579" s="6" t="n">
        <x:v>5802</x:v>
      </x:c>
      <x:c r="J579" s="11" t="n">
        <x:f>E579/D579</x:f>
        <x:v>0.9117276166456494</x:v>
      </x:c>
      <x:c r="K579" s="11" t="n">
        <x:f>F579/D579</x:f>
        <x:v>0.08827238335435057</x:v>
      </x:c>
      <x:c r="L579" s="13" t="n">
        <x:f>I579/D579</x:f>
        <x:v>7.316519546027743</x:v>
      </x:c>
      <x:c r="M579" s="6" t="str">
        <x:v>Included</x:v>
      </x:c>
    </x:row>
    <x:row r="580" ht="23" customHeight="1">
      <x:c r="B580" s="12" t="str">
        <x:v>7711</x:v>
      </x:c>
      <x:c r="C580" s="6" t="str">
        <x:v>Havelock St / Dewson St</x:v>
      </x:c>
      <x:c r="D580" s="6" t="n">
        <x:v>791</x:v>
      </x:c>
      <x:c r="E580" s="6" t="n">
        <x:v>782</x:v>
      </x:c>
      <x:c r="F580" s="6" t="n">
        <x:v>9</x:v>
      </x:c>
      <x:c r="G580" s="6" t="n">
        <x:v>11</x:v>
      </x:c>
      <x:c r="H580" s="6" t="n">
        <x:v>116</x:v>
      </x:c>
      <x:c r="I580" s="6" t="n">
        <x:v>7237</x:v>
      </x:c>
      <x:c r="J580" s="11" t="n">
        <x:f>E580/D580</x:f>
        <x:v>0.988621997471555</x:v>
      </x:c>
      <x:c r="K580" s="11" t="n">
        <x:f>F580/D580</x:f>
        <x:v>0.011378002528445006</x:v>
      </x:c>
      <x:c r="L580" s="13" t="n">
        <x:f>I580/D580</x:f>
        <x:v>9.149178255372945</x:v>
      </x:c>
      <x:c r="M580" s="6" t="str">
        <x:v>Included</x:v>
      </x:c>
    </x:row>
    <x:row r="581" ht="23" customHeight="1">
      <x:c r="B581" s="12" t="str">
        <x:v>7712</x:v>
      </x:c>
      <x:c r="C581" s="6" t="str">
        <x:v>Queen St W / Shaw St</x:v>
      </x:c>
      <x:c r="D581" s="6" t="n">
        <x:v>787</x:v>
      </x:c>
      <x:c r="E581" s="6" t="n">
        <x:v>755</x:v>
      </x:c>
      <x:c r="F581" s="6" t="n">
        <x:v>32</x:v>
      </x:c>
      <x:c r="G581" s="6" t="n">
        <x:v>11</x:v>
      </x:c>
      <x:c r="H581" s="6" t="n">
        <x:v>116</x:v>
      </x:c>
      <x:c r="I581" s="6" t="n">
        <x:v>5064</x:v>
      </x:c>
      <x:c r="J581" s="11" t="n">
        <x:f>E581/D581</x:f>
        <x:v>0.9593392630241423</x:v>
      </x:c>
      <x:c r="K581" s="11" t="n">
        <x:f>F581/D581</x:f>
        <x:v>0.04066073697585769</x:v>
      </x:c>
      <x:c r="L581" s="13" t="n">
        <x:f>I581/D581</x:f>
        <x:v>6.434561626429479</x:v>
      </x:c>
      <x:c r="M581" s="6" t="str">
        <x:v>Included</x:v>
      </x:c>
    </x:row>
    <x:row r="582" ht="23" customHeight="1">
      <x:c r="B582" s="12" t="str">
        <x:v>7713</x:v>
      </x:c>
      <x:c r="C582" s="6" t="str">
        <x:v>Temperance St / Bay St</x:v>
      </x:c>
      <x:c r="D582" s="6" t="n">
        <x:v>789</x:v>
      </x:c>
      <x:c r="E582" s="6" t="n">
        <x:v>700</x:v>
      </x:c>
      <x:c r="F582" s="6" t="n">
        <x:v>89</x:v>
      </x:c>
      <x:c r="G582" s="6" t="n">
        <x:v>11</x:v>
      </x:c>
      <x:c r="H582" s="6" t="n">
        <x:v>114</x:v>
      </x:c>
      <x:c r="I582" s="6" t="n">
        <x:v>7147</x:v>
      </x:c>
      <x:c r="J582" s="11" t="n">
        <x:f>E582/D582</x:f>
        <x:v>0.8871989860583016</x:v>
      </x:c>
      <x:c r="K582" s="11" t="n">
        <x:f>F582/D582</x:f>
        <x:v>0.11280101394169835</x:v>
      </x:c>
      <x:c r="L582" s="13" t="n">
        <x:f>I582/D582</x:f>
        <x:v>9.05830164765526</x:v>
      </x:c>
      <x:c r="M582" s="6" t="str">
        <x:v>Included</x:v>
      </x:c>
    </x:row>
    <x:row r="583" ht="23" customHeight="1">
      <x:c r="B583" s="12" t="str">
        <x:v>7715</x:v>
      </x:c>
      <x:c r="C583" s="6" t="str">
        <x:v>Lumsden Ave / Cedarvale Ave</x:v>
      </x:c>
      <x:c r="D583" s="6" t="n">
        <x:v>795</x:v>
      </x:c>
      <x:c r="E583" s="6" t="n">
        <x:v>795</x:v>
      </x:c>
      <x:c r="F583" s="6" t="n">
        <x:v>0</x:v>
      </x:c>
      <x:c r="G583" s="6" t="n">
        <x:v>11</x:v>
      </x:c>
      <x:c r="H583" s="6" t="n">
        <x:v>115</x:v>
      </x:c>
      <x:c r="I583" s="6" t="n">
        <x:v>6499</x:v>
      </x:c>
      <x:c r="J583" s="11" t="n">
        <x:f>E583/D583</x:f>
        <x:v>1</x:v>
      </x:c>
      <x:c r="K583" s="11" t="n">
        <x:f>F583/D583</x:f>
        <x:v>0</x:v>
      </x:c>
      <x:c r="L583" s="13" t="n">
        <x:f>I583/D583</x:f>
        <x:v>8.174842767295598</x:v>
      </x:c>
      <x:c r="M583" s="6" t="str">
        <x:v>Included</x:v>
      </x:c>
    </x:row>
    <x:row r="584" ht="23" customHeight="1">
      <x:c r="B584" s="12" t="str">
        <x:v>7716</x:v>
      </x:c>
      <x:c r="C584" s="6" t="str">
        <x:v>Church St / The Esplanade</x:v>
      </x:c>
      <x:c r="D584" s="6" t="n">
        <x:v>788</x:v>
      </x:c>
      <x:c r="E584" s="6" t="n">
        <x:v>668</x:v>
      </x:c>
      <x:c r="F584" s="6" t="n">
        <x:v>120</x:v>
      </x:c>
      <x:c r="G584" s="6" t="n">
        <x:v>11</x:v>
      </x:c>
      <x:c r="H584" s="6" t="n">
        <x:v>114</x:v>
      </x:c>
      <x:c r="I584" s="6" t="n">
        <x:v>3543</x:v>
      </x:c>
      <x:c r="J584" s="11" t="n">
        <x:f>E584/D584</x:f>
        <x:v>0.8477157360406091</x:v>
      </x:c>
      <x:c r="K584" s="11" t="n">
        <x:f>F584/D584</x:f>
        <x:v>0.15228426395939088</x:v>
      </x:c>
      <x:c r="L584" s="13" t="n">
        <x:f>I584/D584</x:f>
        <x:v>4.496192893401015</x:v>
      </x:c>
      <x:c r="M584" s="6" t="str">
        <x:v>Included</x:v>
      </x:c>
    </x:row>
    <x:row r="585" ht="23" customHeight="1">
      <x:c r="B585" s="12" t="str">
        <x:v>7717</x:v>
      </x:c>
      <x:c r="C585" s="6" t="str">
        <x:v>Niagara St / Portland St</x:v>
      </x:c>
      <x:c r="D585" s="6" t="n">
        <x:v>788</x:v>
      </x:c>
      <x:c r="E585" s="6" t="n">
        <x:v>465</x:v>
      </x:c>
      <x:c r="F585" s="6" t="n">
        <x:v>323</x:v>
      </x:c>
      <x:c r="G585" s="6" t="n">
        <x:v>11</x:v>
      </x:c>
      <x:c r="H585" s="6" t="n">
        <x:v>114</x:v>
      </x:c>
      <x:c r="I585" s="6" t="n">
        <x:v>2874</x:v>
      </x:c>
      <x:c r="J585" s="11" t="n">
        <x:f>E585/D585</x:f>
        <x:v>0.5901015228426396</x:v>
      </x:c>
      <x:c r="K585" s="11" t="n">
        <x:f>F585/D585</x:f>
        <x:v>0.4098984771573604</x:v>
      </x:c>
      <x:c r="L585" s="13" t="n">
        <x:f>I585/D585</x:f>
        <x:v>3.6472081218274113</x:v>
      </x:c>
      <x:c r="M585" s="6" t="str">
        <x:v>Included</x:v>
      </x:c>
    </x:row>
    <x:row r="586" ht="23" customHeight="1">
      <x:c r="B586" s="12" t="str">
        <x:v>7718</x:v>
      </x:c>
      <x:c r="C586" s="6" t="str">
        <x:v>St. Andrew's Playground Park</x:v>
      </x:c>
      <x:c r="D586" s="6" t="n">
        <x:v>793</x:v>
      </x:c>
      <x:c r="E586" s="6" t="n">
        <x:v>589</x:v>
      </x:c>
      <x:c r="F586" s="6" t="n">
        <x:v>204</x:v>
      </x:c>
      <x:c r="G586" s="6" t="n">
        <x:v>11</x:v>
      </x:c>
      <x:c r="H586" s="6" t="n">
        <x:v>115</x:v>
      </x:c>
      <x:c r="I586" s="6" t="n">
        <x:v>2003</x:v>
      </x:c>
      <x:c r="J586" s="11" t="n">
        <x:f>E586/D586</x:f>
        <x:v>0.742749054224464</x:v>
      </x:c>
      <x:c r="K586" s="11" t="n">
        <x:f>F586/D586</x:f>
        <x:v>0.2572509457755359</x:v>
      </x:c>
      <x:c r="L586" s="13" t="n">
        <x:f>I586/D586</x:f>
        <x:v>2.5258511979823455</x:v>
      </x:c>
      <x:c r="M586" s="6" t="str">
        <x:v>Included</x:v>
      </x:c>
    </x:row>
    <x:row r="587" ht="23" customHeight="1">
      <x:c r="B587" s="12" t="str">
        <x:v>7720</x:v>
      </x:c>
      <x:c r="C587" s="6" t="str">
        <x:v>King St W / Portland St</x:v>
      </x:c>
      <x:c r="D587" s="6" t="n">
        <x:v>792</x:v>
      </x:c>
      <x:c r="E587" s="6" t="n">
        <x:v>723</x:v>
      </x:c>
      <x:c r="F587" s="6" t="n">
        <x:v>69</x:v>
      </x:c>
      <x:c r="G587" s="6" t="n">
        <x:v>11</x:v>
      </x:c>
      <x:c r="H587" s="6" t="n">
        <x:v>115</x:v>
      </x:c>
      <x:c r="I587" s="6" t="n">
        <x:v>7243</x:v>
      </x:c>
      <x:c r="J587" s="11" t="n">
        <x:f>E587/D587</x:f>
        <x:v>0.9128787878787878</x:v>
      </x:c>
      <x:c r="K587" s="11" t="n">
        <x:f>F587/D587</x:f>
        <x:v>0.08712121212121213</x:v>
      </x:c>
      <x:c r="L587" s="13" t="n">
        <x:f>I587/D587</x:f>
        <x:v>9.14520202020202</x:v>
      </x:c>
      <x:c r="M587" s="6" t="str">
        <x:v>Included</x:v>
      </x:c>
    </x:row>
    <x:row r="588" ht="23" customHeight="1">
      <x:c r="B588" s="12" t="str">
        <x:v>7721</x:v>
      </x:c>
      <x:c r="C588" s="6" t="str">
        <x:v>Widmer St / King St W</x:v>
      </x:c>
      <x:c r="D588" s="6" t="n">
        <x:v>785</x:v>
      </x:c>
      <x:c r="E588" s="6" t="n">
        <x:v>620</x:v>
      </x:c>
      <x:c r="F588" s="6" t="n">
        <x:v>165</x:v>
      </x:c>
      <x:c r="G588" s="6" t="n">
        <x:v>11</x:v>
      </x:c>
      <x:c r="H588" s="6" t="n">
        <x:v>114</x:v>
      </x:c>
      <x:c r="I588" s="6" t="n">
        <x:v>2763</x:v>
      </x:c>
      <x:c r="J588" s="11" t="n">
        <x:f>E588/D588</x:f>
        <x:v>0.7898089171974523</x:v>
      </x:c>
      <x:c r="K588" s="11" t="n">
        <x:f>F588/D588</x:f>
        <x:v>0.21019108280254778</x:v>
      </x:c>
      <x:c r="L588" s="13" t="n">
        <x:f>I588/D588</x:f>
        <x:v>3.519745222929936</x:v>
      </x:c>
      <x:c r="M588" s="6" t="str">
        <x:v>Included</x:v>
      </x:c>
    </x:row>
    <x:row r="589" ht="23" customHeight="1">
      <x:c r="B589" s="12" t="str">
        <x:v>7725</x:v>
      </x:c>
      <x:c r="C589" s="6" t="str">
        <x:v>Yonge St / Macpherson Ave</x:v>
      </x:c>
      <x:c r="D589" s="6" t="n">
        <x:v>242</x:v>
      </x:c>
      <x:c r="E589" s="6" t="n">
        <x:v>242</x:v>
      </x:c>
      <x:c r="F589" s="6" t="n">
        <x:v>0</x:v>
      </x:c>
      <x:c r="G589" s="6" t="n">
        <x:v>4</x:v>
      </x:c>
      <x:c r="H589" s="6" t="n">
        <x:v>49</x:v>
      </x:c>
      <x:c r="I589" s="6" t="n">
        <x:v>3158</x:v>
      </x:c>
      <x:c r="J589" s="11" t="n">
        <x:f>E589/D589</x:f>
        <x:v>1</x:v>
      </x:c>
      <x:c r="K589" s="11" t="n">
        <x:f>F589/D589</x:f>
        <x:v>0</x:v>
      </x:c>
      <x:c r="L589" s="13" t="n">
        <x:f>I589/D589</x:f>
        <x:v>13.049586776859504</x:v>
      </x:c>
      <x:c r="M589" s="6" t="str">
        <x:v>Low support</x:v>
      </x:c>
    </x:row>
    <x:row r="590" ht="23" customHeight="1">
      <x:c r="B590" s="12" t="str">
        <x:v>7728</x:v>
      </x:c>
      <x:c r="C590" s="6" t="str">
        <x:v>Randolph Ave / Perth Ave</x:v>
      </x:c>
      <x:c r="D590" s="6" t="n">
        <x:v>787</x:v>
      </x:c>
      <x:c r="E590" s="6" t="n">
        <x:v>787</x:v>
      </x:c>
      <x:c r="F590" s="6" t="n">
        <x:v>0</x:v>
      </x:c>
      <x:c r="G590" s="6" t="n">
        <x:v>11</x:v>
      </x:c>
      <x:c r="H590" s="6" t="n">
        <x:v>115</x:v>
      </x:c>
      <x:c r="I590" s="6" t="n">
        <x:v>12980</x:v>
      </x:c>
      <x:c r="J590" s="11" t="n">
        <x:f>E590/D590</x:f>
        <x:v>1</x:v>
      </x:c>
      <x:c r="K590" s="11" t="n">
        <x:f>F590/D590</x:f>
        <x:v>0</x:v>
      </x:c>
      <x:c r="L590" s="13" t="n">
        <x:f>I590/D590</x:f>
        <x:v>16.493011435832276</x:v>
      </x:c>
      <x:c r="M590" s="6" t="str">
        <x:v>Included</x:v>
      </x:c>
    </x:row>
    <x:row r="591" ht="23" customHeight="1">
      <x:c r="B591" s="12" t="str">
        <x:v>7729</x:v>
      </x:c>
      <x:c r="C591" s="6" t="str">
        <x:v>265 Armadale Ave</x:v>
      </x:c>
      <x:c r="D591" s="6" t="n">
        <x:v>793</x:v>
      </x:c>
      <x:c r="E591" s="6" t="n">
        <x:v>764</x:v>
      </x:c>
      <x:c r="F591" s="6" t="n">
        <x:v>29</x:v>
      </x:c>
      <x:c r="G591" s="6" t="n">
        <x:v>11</x:v>
      </x:c>
      <x:c r="H591" s="6" t="n">
        <x:v>115</x:v>
      </x:c>
      <x:c r="I591" s="6" t="n">
        <x:v>11056</x:v>
      </x:c>
      <x:c r="J591" s="11" t="n">
        <x:f>E591/D591</x:f>
        <x:v>0.9634300126103404</x:v>
      </x:c>
      <x:c r="K591" s="11" t="n">
        <x:f>F591/D591</x:f>
        <x:v>0.03656998738965952</x:v>
      </x:c>
      <x:c r="L591" s="13" t="n">
        <x:f>I591/D591</x:f>
        <x:v>13.941992433795713</x:v>
      </x:c>
      <x:c r="M591" s="6" t="str">
        <x:v>Included</x:v>
      </x:c>
    </x:row>
    <x:row r="592" ht="23" customHeight="1">
      <x:c r="B592" s="12" t="str">
        <x:v>7730</x:v>
      </x:c>
      <x:c r="C592" s="6" t="str">
        <x:v>800 Fleet St (South)</x:v>
      </x:c>
      <x:c r="D592" s="6" t="n">
        <x:v>785</x:v>
      </x:c>
      <x:c r="E592" s="6" t="n">
        <x:v>656</x:v>
      </x:c>
      <x:c r="F592" s="6" t="n">
        <x:v>129</x:v>
      </x:c>
      <x:c r="G592" s="6" t="n">
        <x:v>11</x:v>
      </x:c>
      <x:c r="H592" s="6" t="n">
        <x:v>114</x:v>
      </x:c>
      <x:c r="I592" s="6" t="n">
        <x:v>7650</x:v>
      </x:c>
      <x:c r="J592" s="11" t="n">
        <x:f>E592/D592</x:f>
        <x:v>0.8356687898089172</x:v>
      </x:c>
      <x:c r="K592" s="11" t="n">
        <x:f>F592/D592</x:f>
        <x:v>0.1643312101910828</x:v>
      </x:c>
      <x:c r="L592" s="13" t="n">
        <x:f>I592/D592</x:f>
        <x:v>9.745222929936306</x:v>
      </x:c>
      <x:c r="M592" s="6" t="str">
        <x:v>Included</x:v>
      </x:c>
    </x:row>
    <x:row r="593" ht="23" customHeight="1">
      <x:c r="B593" s="12" t="str">
        <x:v>7731</x:v>
      </x:c>
      <x:c r="C593" s="6" t="str">
        <x:v>Victoria Park Ave / Kingston Rd</x:v>
      </x:c>
      <x:c r="D593" s="6" t="n">
        <x:v>792</x:v>
      </x:c>
      <x:c r="E593" s="6" t="n">
        <x:v>792</x:v>
      </x:c>
      <x:c r="F593" s="6" t="n">
        <x:v>0</x:v>
      </x:c>
      <x:c r="G593" s="6" t="n">
        <x:v>11</x:v>
      </x:c>
      <x:c r="H593" s="6" t="n">
        <x:v>114</x:v>
      </x:c>
      <x:c r="I593" s="6" t="n">
        <x:v>7834</x:v>
      </x:c>
      <x:c r="J593" s="11" t="n">
        <x:f>E593/D593</x:f>
        <x:v>1</x:v>
      </x:c>
      <x:c r="K593" s="11" t="n">
        <x:f>F593/D593</x:f>
        <x:v>0</x:v>
      </x:c>
      <x:c r="L593" s="13" t="n">
        <x:f>I593/D593</x:f>
        <x:v>9.891414141414142</x:v>
      </x:c>
      <x:c r="M593" s="6" t="str">
        <x:v>Included</x:v>
      </x:c>
    </x:row>
    <x:row r="594" ht="23" customHeight="1">
      <x:c r="B594" s="12" t="str">
        <x:v>7732</x:v>
      </x:c>
      <x:c r="C594" s="6" t="str">
        <x:v>Kingston Rd / Warden Ave</x:v>
      </x:c>
      <x:c r="D594" s="6" t="n">
        <x:v>789</x:v>
      </x:c>
      <x:c r="E594" s="6" t="n">
        <x:v>789</x:v>
      </x:c>
      <x:c r="F594" s="6" t="n">
        <x:v>0</x:v>
      </x:c>
      <x:c r="G594" s="6" t="n">
        <x:v>11</x:v>
      </x:c>
      <x:c r="H594" s="6" t="n">
        <x:v>115</x:v>
      </x:c>
      <x:c r="I594" s="6" t="n">
        <x:v>8954</x:v>
      </x:c>
      <x:c r="J594" s="11" t="n">
        <x:f>E594/D594</x:f>
        <x:v>1</x:v>
      </x:c>
      <x:c r="K594" s="11" t="n">
        <x:f>F594/D594</x:f>
        <x:v>0</x:v>
      </x:c>
      <x:c r="L594" s="13" t="n">
        <x:f>I594/D594</x:f>
        <x:v>11.348542458808618</x:v>
      </x:c>
      <x:c r="M594" s="6" t="str">
        <x:v>Included</x:v>
      </x:c>
    </x:row>
    <x:row r="595" ht="23" customHeight="1">
      <x:c r="B595" s="12" t="str">
        <x:v>7733</x:v>
      </x:c>
      <x:c r="C595" s="6" t="str">
        <x:v>Pharmacy Ave / Danforth Ave</x:v>
      </x:c>
      <x:c r="D595" s="6" t="n">
        <x:v>784</x:v>
      </x:c>
      <x:c r="E595" s="6" t="n">
        <x:v>784</x:v>
      </x:c>
      <x:c r="F595" s="6" t="n">
        <x:v>0</x:v>
      </x:c>
      <x:c r="G595" s="6" t="n">
        <x:v>11</x:v>
      </x:c>
      <x:c r="H595" s="6" t="n">
        <x:v>116</x:v>
      </x:c>
      <x:c r="I595" s="6" t="n">
        <x:v>10632</x:v>
      </x:c>
      <x:c r="J595" s="11" t="n">
        <x:f>E595/D595</x:f>
        <x:v>1</x:v>
      </x:c>
      <x:c r="K595" s="11" t="n">
        <x:f>F595/D595</x:f>
        <x:v>0</x:v>
      </x:c>
      <x:c r="L595" s="13" t="n">
        <x:f>I595/D595</x:f>
        <x:v>13.561224489795919</x:v>
      </x:c>
      <x:c r="M595" s="6" t="str">
        <x:v>Included</x:v>
      </x:c>
    </x:row>
    <x:row r="596" ht="23" customHeight="1">
      <x:c r="B596" s="12" t="str">
        <x:v>7734</x:v>
      </x:c>
      <x:c r="C596" s="6" t="str">
        <x:v>Danforth Ave / Warden Ave</x:v>
      </x:c>
      <x:c r="D596" s="6" t="n">
        <x:v>796</x:v>
      </x:c>
      <x:c r="E596" s="6" t="n">
        <x:v>796</x:v>
      </x:c>
      <x:c r="F596" s="6" t="n">
        <x:v>0</x:v>
      </x:c>
      <x:c r="G596" s="6" t="n">
        <x:v>11</x:v>
      </x:c>
      <x:c r="H596" s="6" t="n">
        <x:v>114</x:v>
      </x:c>
      <x:c r="I596" s="6" t="n">
        <x:v>9436</x:v>
      </x:c>
      <x:c r="J596" s="11" t="n">
        <x:f>E596/D596</x:f>
        <x:v>1</x:v>
      </x:c>
      <x:c r="K596" s="11" t="n">
        <x:f>F596/D596</x:f>
        <x:v>0</x:v>
      </x:c>
      <x:c r="L596" s="13" t="n">
        <x:f>I596/D596</x:f>
        <x:v>11.85427135678392</x:v>
      </x:c>
      <x:c r="M596" s="6" t="str">
        <x:v>Included</x:v>
      </x:c>
    </x:row>
    <x:row r="597" ht="23" customHeight="1">
      <x:c r="B597" s="12" t="str">
        <x:v>7735</x:v>
      </x:c>
      <x:c r="C597" s="6" t="str">
        <x:v>Birchcliff Ave / Kingston Rd</x:v>
      </x:c>
      <x:c r="D597" s="6" t="n">
        <x:v>788</x:v>
      </x:c>
      <x:c r="E597" s="6" t="n">
        <x:v>788</x:v>
      </x:c>
      <x:c r="F597" s="6" t="n">
        <x:v>0</x:v>
      </x:c>
      <x:c r="G597" s="6" t="n">
        <x:v>11</x:v>
      </x:c>
      <x:c r="H597" s="6" t="n">
        <x:v>115</x:v>
      </x:c>
      <x:c r="I597" s="6" t="n">
        <x:v>9827</x:v>
      </x:c>
      <x:c r="J597" s="11" t="n">
        <x:f>E597/D597</x:f>
        <x:v>1</x:v>
      </x:c>
      <x:c r="K597" s="11" t="n">
        <x:f>F597/D597</x:f>
        <x:v>0</x:v>
      </x:c>
      <x:c r="L597" s="13" t="n">
        <x:f>I597/D597</x:f>
        <x:v>12.470812182741117</x:v>
      </x:c>
      <x:c r="M597" s="6" t="str">
        <x:v>Included</x:v>
      </x:c>
    </x:row>
    <x:row r="598" ht="23" customHeight="1">
      <x:c r="B598" s="12" t="str">
        <x:v>7736</x:v>
      </x:c>
      <x:c r="C598" s="6" t="str">
        <x:v>Birchmount Rd / Kingston Rd</x:v>
      </x:c>
      <x:c r="D598" s="6" t="n">
        <x:v>792</x:v>
      </x:c>
      <x:c r="E598" s="6" t="n">
        <x:v>792</x:v>
      </x:c>
      <x:c r="F598" s="6" t="n">
        <x:v>0</x:v>
      </x:c>
      <x:c r="G598" s="6" t="n">
        <x:v>11</x:v>
      </x:c>
      <x:c r="H598" s="6" t="n">
        <x:v>114</x:v>
      </x:c>
      <x:c r="I598" s="6" t="n">
        <x:v>8677</x:v>
      </x:c>
      <x:c r="J598" s="11" t="n">
        <x:f>E598/D598</x:f>
        <x:v>1</x:v>
      </x:c>
      <x:c r="K598" s="11" t="n">
        <x:f>F598/D598</x:f>
        <x:v>0</x:v>
      </x:c>
      <x:c r="L598" s="13" t="n">
        <x:f>I598/D598</x:f>
        <x:v>10.955808080808081</x:v>
      </x:c>
      <x:c r="M598" s="6" t="str">
        <x:v>Included</x:v>
      </x:c>
    </x:row>
    <x:row r="599" ht="23" customHeight="1">
      <x:c r="B599" s="12" t="str">
        <x:v>7737</x:v>
      </x:c>
      <x:c r="C599" s="6" t="str">
        <x:v>Kingston Rd / Glen Everest Rd</x:v>
      </x:c>
      <x:c r="D599" s="6" t="n">
        <x:v>799</x:v>
      </x:c>
      <x:c r="E599" s="6" t="n">
        <x:v>799</x:v>
      </x:c>
      <x:c r="F599" s="6" t="n">
        <x:v>0</x:v>
      </x:c>
      <x:c r="G599" s="6" t="n">
        <x:v>11</x:v>
      </x:c>
      <x:c r="H599" s="6" t="n">
        <x:v>115</x:v>
      </x:c>
      <x:c r="I599" s="6" t="n">
        <x:v>8649</x:v>
      </x:c>
      <x:c r="J599" s="11" t="n">
        <x:f>E599/D599</x:f>
        <x:v>1</x:v>
      </x:c>
      <x:c r="K599" s="11" t="n">
        <x:f>F599/D599</x:f>
        <x:v>0</x:v>
      </x:c>
      <x:c r="L599" s="13" t="n">
        <x:f>I599/D599</x:f>
        <x:v>10.824780976220275</x:v>
      </x:c>
      <x:c r="M599" s="6" t="str">
        <x:v>Included</x:v>
      </x:c>
    </x:row>
    <x:row r="600" ht="23" customHeight="1">
      <x:c r="B600" s="12" t="str">
        <x:v>7738</x:v>
      </x:c>
      <x:c r="C600" s="6" t="str">
        <x:v>Highview Ave / Kennedy Rd</x:v>
      </x:c>
      <x:c r="D600" s="6" t="n">
        <x:v>779</x:v>
      </x:c>
      <x:c r="E600" s="6" t="n">
        <x:v>779</x:v>
      </x:c>
      <x:c r="F600" s="6" t="n">
        <x:v>0</x:v>
      </x:c>
      <x:c r="G600" s="6" t="n">
        <x:v>11</x:v>
      </x:c>
      <x:c r="H600" s="6" t="n">
        <x:v>114</x:v>
      </x:c>
      <x:c r="I600" s="6" t="n">
        <x:v>10128</x:v>
      </x:c>
      <x:c r="J600" s="11" t="n">
        <x:f>E600/D600</x:f>
        <x:v>1</x:v>
      </x:c>
      <x:c r="K600" s="11" t="n">
        <x:f>F600/D600</x:f>
        <x:v>0</x:v>
      </x:c>
      <x:c r="L600" s="13" t="n">
        <x:f>I600/D600</x:f>
        <x:v>13.001283697047496</x:v>
      </x:c>
      <x:c r="M600" s="6" t="str">
        <x:v>Included</x:v>
      </x:c>
    </x:row>
    <x:row r="601" ht="23" customHeight="1">
      <x:c r="B601" s="12" t="str">
        <x:v>7739</x:v>
      </x:c>
      <x:c r="C601" s="6" t="str">
        <x:v>Kingston Rd / Ridgemoor Ave</x:v>
      </x:c>
      <x:c r="D601" s="6" t="n">
        <x:v>777</x:v>
      </x:c>
      <x:c r="E601" s="6" t="n">
        <x:v>777</x:v>
      </x:c>
      <x:c r="F601" s="6" t="n">
        <x:v>0</x:v>
      </x:c>
      <x:c r="G601" s="6" t="n">
        <x:v>11</x:v>
      </x:c>
      <x:c r="H601" s="6" t="n">
        <x:v>114</x:v>
      </x:c>
      <x:c r="I601" s="6" t="n">
        <x:v>9462</x:v>
      </x:c>
      <x:c r="J601" s="11" t="n">
        <x:f>E601/D601</x:f>
        <x:v>1</x:v>
      </x:c>
      <x:c r="K601" s="11" t="n">
        <x:f>F601/D601</x:f>
        <x:v>0</x:v>
      </x:c>
      <x:c r="L601" s="13" t="n">
        <x:f>I601/D601</x:f>
        <x:v>12.177606177606178</x:v>
      </x:c>
      <x:c r="M601" s="6" t="str">
        <x:v>Included</x:v>
      </x:c>
    </x:row>
    <x:row r="602" ht="23" customHeight="1">
      <x:c r="B602" s="12" t="str">
        <x:v>7740</x:v>
      </x:c>
      <x:c r="C602" s="6" t="str">
        <x:v>Sharpe St / Park St (Sandown Park)</x:v>
      </x:c>
      <x:c r="D602" s="6" t="n">
        <x:v>781</x:v>
      </x:c>
      <x:c r="E602" s="6" t="n">
        <x:v>781</x:v>
      </x:c>
      <x:c r="F602" s="6" t="n">
        <x:v>0</x:v>
      </x:c>
      <x:c r="G602" s="6" t="n">
        <x:v>11</x:v>
      </x:c>
      <x:c r="H602" s="6" t="n">
        <x:v>114</x:v>
      </x:c>
      <x:c r="I602" s="6" t="n">
        <x:v>7964</x:v>
      </x:c>
      <x:c r="J602" s="11" t="n">
        <x:f>E602/D602</x:f>
        <x:v>1</x:v>
      </x:c>
      <x:c r="K602" s="11" t="n">
        <x:f>F602/D602</x:f>
        <x:v>0</x:v>
      </x:c>
      <x:c r="L602" s="13" t="n">
        <x:f>I602/D602</x:f>
        <x:v>10.19718309859155</x:v>
      </x:c>
      <x:c r="M602" s="6" t="str">
        <x:v>Included</x:v>
      </x:c>
    </x:row>
    <x:row r="603" ht="23" customHeight="1">
      <x:c r="B603" s="12" t="str">
        <x:v>7741</x:v>
      </x:c>
      <x:c r="C603" s="6" t="str">
        <x:v>Howard Park Ave / Parkside Dr</x:v>
      </x:c>
      <x:c r="D603" s="6" t="n">
        <x:v>776</x:v>
      </x:c>
      <x:c r="E603" s="6" t="n">
        <x:v>776</x:v>
      </x:c>
      <x:c r="F603" s="6" t="n">
        <x:v>0</x:v>
      </x:c>
      <x:c r="G603" s="6" t="n">
        <x:v>11</x:v>
      </x:c>
      <x:c r="H603" s="6" t="n">
        <x:v>114</x:v>
      </x:c>
      <x:c r="I603" s="6" t="n">
        <x:v>7513</x:v>
      </x:c>
      <x:c r="J603" s="11" t="n">
        <x:f>E603/D603</x:f>
        <x:v>1</x:v>
      </x:c>
      <x:c r="K603" s="11" t="n">
        <x:f>F603/D603</x:f>
        <x:v>0</x:v>
      </x:c>
      <x:c r="L603" s="13" t="n">
        <x:f>I603/D603</x:f>
        <x:v>9.681701030927835</x:v>
      </x:c>
      <x:c r="M603" s="6" t="str">
        <x:v>Included</x:v>
      </x:c>
    </x:row>
    <x:row r="604" ht="23" customHeight="1">
      <x:c r="B604" s="12" t="str">
        <x:v>7742</x:v>
      </x:c>
      <x:c r="C604" s="6" t="str">
        <x:v>Eglinton Ave W / Prospect Cemetery</x:v>
      </x:c>
      <x:c r="D604" s="6" t="n">
        <x:v>783</x:v>
      </x:c>
      <x:c r="E604" s="6" t="n">
        <x:v>783</x:v>
      </x:c>
      <x:c r="F604" s="6" t="n">
        <x:v>0</x:v>
      </x:c>
      <x:c r="G604" s="6" t="n">
        <x:v>11</x:v>
      </x:c>
      <x:c r="H604" s="6" t="n">
        <x:v>114</x:v>
      </x:c>
      <x:c r="I604" s="6" t="n">
        <x:v>11259</x:v>
      </x:c>
      <x:c r="J604" s="11" t="n">
        <x:f>E604/D604</x:f>
        <x:v>1</x:v>
      </x:c>
      <x:c r="K604" s="11" t="n">
        <x:f>F604/D604</x:f>
        <x:v>0</x:v>
      </x:c>
      <x:c r="L604" s="13" t="n">
        <x:f>I604/D604</x:f>
        <x:v>14.379310344827585</x:v>
      </x:c>
      <x:c r="M604" s="6" t="str">
        <x:v>Included</x:v>
      </x:c>
    </x:row>
    <x:row r="605" ht="23" customHeight="1">
      <x:c r="B605" s="12" t="str">
        <x:v>7743</x:v>
      </x:c>
      <x:c r="C605" s="6" t="str">
        <x:v>Eglinton Ave W / Gilbert Ave</x:v>
      </x:c>
      <x:c r="D605" s="6" t="n">
        <x:v>791</x:v>
      </x:c>
      <x:c r="E605" s="6" t="n">
        <x:v>791</x:v>
      </x:c>
      <x:c r="F605" s="6" t="n">
        <x:v>0</x:v>
      </x:c>
      <x:c r="G605" s="6" t="n">
        <x:v>11</x:v>
      </x:c>
      <x:c r="H605" s="6" t="n">
        <x:v>114</x:v>
      </x:c>
      <x:c r="I605" s="6" t="n">
        <x:v>10444</x:v>
      </x:c>
      <x:c r="J605" s="11" t="n">
        <x:f>E605/D605</x:f>
        <x:v>1</x:v>
      </x:c>
      <x:c r="K605" s="11" t="n">
        <x:f>F605/D605</x:f>
        <x:v>0</x:v>
      </x:c>
      <x:c r="L605" s="13" t="n">
        <x:f>I605/D605</x:f>
        <x:v>13.20353982300885</x:v>
      </x:c>
      <x:c r="M605" s="6" t="str">
        <x:v>Included</x:v>
      </x:c>
    </x:row>
    <x:row r="606" ht="23" customHeight="1">
      <x:c r="B606" s="12" t="str">
        <x:v>7744</x:v>
      </x:c>
      <x:c r="C606" s="6" t="str">
        <x:v>Rogers Rd / Prospect Cemetery</x:v>
      </x:c>
      <x:c r="D606" s="6" t="n">
        <x:v>788</x:v>
      </x:c>
      <x:c r="E606" s="6" t="n">
        <x:v>788</x:v>
      </x:c>
      <x:c r="F606" s="6" t="n">
        <x:v>0</x:v>
      </x:c>
      <x:c r="G606" s="6" t="n">
        <x:v>11</x:v>
      </x:c>
      <x:c r="H606" s="6" t="n">
        <x:v>115</x:v>
      </x:c>
      <x:c r="I606" s="6" t="n">
        <x:v>15457</x:v>
      </x:c>
      <x:c r="J606" s="11" t="n">
        <x:f>E606/D606</x:f>
        <x:v>1</x:v>
      </x:c>
      <x:c r="K606" s="11" t="n">
        <x:f>F606/D606</x:f>
        <x:v>0</x:v>
      </x:c>
      <x:c r="L606" s="13" t="n">
        <x:f>I606/D606</x:f>
        <x:v>19.615482233502537</x:v>
      </x:c>
      <x:c r="M606" s="6" t="str">
        <x:v>Included</x:v>
      </x:c>
    </x:row>
    <x:row r="607" ht="23" customHeight="1">
      <x:c r="B607" s="12" t="str">
        <x:v>7745</x:v>
      </x:c>
      <x:c r="C607" s="6" t="str">
        <x:v>Bert Robinson Park</x:v>
      </x:c>
      <x:c r="D607" s="6" t="n">
        <x:v>781</x:v>
      </x:c>
      <x:c r="E607" s="6" t="n">
        <x:v>781</x:v>
      </x:c>
      <x:c r="F607" s="6" t="n">
        <x:v>0</x:v>
      </x:c>
      <x:c r="G607" s="6" t="n">
        <x:v>11</x:v>
      </x:c>
      <x:c r="H607" s="6" t="n">
        <x:v>114</x:v>
      </x:c>
      <x:c r="I607" s="6" t="n">
        <x:v>6994</x:v>
      </x:c>
      <x:c r="J607" s="11" t="n">
        <x:f>E607/D607</x:f>
        <x:v>1</x:v>
      </x:c>
      <x:c r="K607" s="11" t="n">
        <x:f>F607/D607</x:f>
        <x:v>0</x:v>
      </x:c>
      <x:c r="L607" s="13" t="n">
        <x:f>I607/D607</x:f>
        <x:v>8.955185659411011</x:v>
      </x:c>
      <x:c r="M607" s="6" t="str">
        <x:v>Included</x:v>
      </x:c>
    </x:row>
    <x:row r="608" ht="23" customHeight="1">
      <x:c r="B608" s="12" t="str">
        <x:v>7746</x:v>
      </x:c>
      <x:c r="C608" s="6" t="str">
        <x:v>Marlee Ave / York Beltline Trail</x:v>
      </x:c>
      <x:c r="D608" s="6" t="n">
        <x:v>787</x:v>
      </x:c>
      <x:c r="E608" s="6" t="n">
        <x:v>787</x:v>
      </x:c>
      <x:c r="F608" s="6" t="n">
        <x:v>0</x:v>
      </x:c>
      <x:c r="G608" s="6" t="n">
        <x:v>11</x:v>
      </x:c>
      <x:c r="H608" s="6" t="n">
        <x:v>114</x:v>
      </x:c>
      <x:c r="I608" s="6" t="n">
        <x:v>12378</x:v>
      </x:c>
      <x:c r="J608" s="11" t="n">
        <x:f>E608/D608</x:f>
        <x:v>1</x:v>
      </x:c>
      <x:c r="K608" s="11" t="n">
        <x:f>F608/D608</x:f>
        <x:v>0</x:v>
      </x:c>
      <x:c r="L608" s="13" t="n">
        <x:f>I608/D608</x:f>
        <x:v>15.728081321473951</x:v>
      </x:c>
      <x:c r="M608" s="6" t="str">
        <x:v>Included</x:v>
      </x:c>
    </x:row>
    <x:row r="609" ht="23" customHeight="1">
      <x:c r="B609" s="12" t="str">
        <x:v>7747</x:v>
      </x:c>
      <x:c r="C609" s="6" t="str">
        <x:v>Eglinton Ave W / Ennerdale Rd</x:v>
      </x:c>
      <x:c r="D609" s="6" t="n">
        <x:v>791</x:v>
      </x:c>
      <x:c r="E609" s="6" t="n">
        <x:v>791</x:v>
      </x:c>
      <x:c r="F609" s="6" t="n">
        <x:v>0</x:v>
      </x:c>
      <x:c r="G609" s="6" t="n">
        <x:v>11</x:v>
      </x:c>
      <x:c r="H609" s="6" t="n">
        <x:v>115</x:v>
      </x:c>
      <x:c r="I609" s="6" t="n">
        <x:v>7561</x:v>
      </x:c>
      <x:c r="J609" s="11" t="n">
        <x:f>E609/D609</x:f>
        <x:v>1</x:v>
      </x:c>
      <x:c r="K609" s="11" t="n">
        <x:f>F609/D609</x:f>
        <x:v>0</x:v>
      </x:c>
      <x:c r="L609" s="13" t="n">
        <x:f>I609/D609</x:f>
        <x:v>9.558786346396966</x:v>
      </x:c>
      <x:c r="M609" s="6" t="str">
        <x:v>Included</x:v>
      </x:c>
    </x:row>
    <x:row r="610" ht="23" customHeight="1">
      <x:c r="B610" s="12" t="str">
        <x:v>7748</x:v>
      </x:c>
      <x:c r="C610" s="6" t="str">
        <x:v>Bloor St W / Old Mill Trl</x:v>
      </x:c>
      <x:c r="D610" s="6" t="n">
        <x:v>789</x:v>
      </x:c>
      <x:c r="E610" s="6" t="n">
        <x:v>789</x:v>
      </x:c>
      <x:c r="F610" s="6" t="n">
        <x:v>0</x:v>
      </x:c>
      <x:c r="G610" s="6" t="n">
        <x:v>11</x:v>
      </x:c>
      <x:c r="H610" s="6" t="n">
        <x:v>115</x:v>
      </x:c>
      <x:c r="I610" s="6" t="n">
        <x:v>10237</x:v>
      </x:c>
      <x:c r="J610" s="11" t="n">
        <x:f>E610/D610</x:f>
        <x:v>1</x:v>
      </x:c>
      <x:c r="K610" s="11" t="n">
        <x:f>F610/D610</x:f>
        <x:v>0</x:v>
      </x:c>
      <x:c r="L610" s="13" t="n">
        <x:f>I610/D610</x:f>
        <x:v>12.974651457541192</x:v>
      </x:c>
      <x:c r="M610" s="6" t="str">
        <x:v>Included</x:v>
      </x:c>
    </x:row>
    <x:row r="611" ht="23" customHeight="1">
      <x:c r="B611" s="12" t="str">
        <x:v>7749</x:v>
      </x:c>
      <x:c r="C611" s="6" t="str">
        <x:v>Wendover Rd / Bloor St W (Green P)</x:v>
      </x:c>
      <x:c r="D611" s="6" t="n">
        <x:v>678</x:v>
      </x:c>
      <x:c r="E611" s="6" t="n">
        <x:v>678</x:v>
      </x:c>
      <x:c r="F611" s="6" t="n">
        <x:v>0</x:v>
      </x:c>
      <x:c r="G611" s="6" t="n">
        <x:v>9</x:v>
      </x:c>
      <x:c r="H611" s="6" t="n">
        <x:v>88</x:v>
      </x:c>
      <x:c r="I611" s="6" t="n">
        <x:v>7405</x:v>
      </x:c>
      <x:c r="J611" s="11" t="n">
        <x:f>E611/D611</x:f>
        <x:v>1</x:v>
      </x:c>
      <x:c r="K611" s="11" t="n">
        <x:f>F611/D611</x:f>
        <x:v>0</x:v>
      </x:c>
      <x:c r="L611" s="13" t="n">
        <x:f>I611/D611</x:f>
        <x:v>10.921828908554572</x:v>
      </x:c>
      <x:c r="M611" s="6" t="str">
        <x:v>Included</x:v>
      </x:c>
    </x:row>
    <x:row r="612" ht="23" customHeight="1">
      <x:c r="B612" s="12" t="str">
        <x:v>7750</x:v>
      </x:c>
      <x:c r="C612" s="6" t="str">
        <x:v>Luttrell Ave / Danforth Ave</x:v>
      </x:c>
      <x:c r="D612" s="6" t="n">
        <x:v>796</x:v>
      </x:c>
      <x:c r="E612" s="6" t="n">
        <x:v>796</x:v>
      </x:c>
      <x:c r="F612" s="6" t="n">
        <x:v>0</x:v>
      </x:c>
      <x:c r="G612" s="6" t="n">
        <x:v>11</x:v>
      </x:c>
      <x:c r="H612" s="6" t="n">
        <x:v>115</x:v>
      </x:c>
      <x:c r="I612" s="6" t="n">
        <x:v>11086</x:v>
      </x:c>
      <x:c r="J612" s="11" t="n">
        <x:f>E612/D612</x:f>
        <x:v>1</x:v>
      </x:c>
      <x:c r="K612" s="11" t="n">
        <x:f>F612/D612</x:f>
        <x:v>0</x:v>
      </x:c>
      <x:c r="L612" s="13" t="n">
        <x:f>I612/D612</x:f>
        <x:v>13.92713567839196</x:v>
      </x:c>
      <x:c r="M612" s="6" t="str">
        <x:v>Included</x:v>
      </x:c>
    </x:row>
    <x:row r="613" ht="23" customHeight="1">
      <x:c r="B613" s="12" t="str">
        <x:v>7751</x:v>
      </x:c>
      <x:c r="C613" s="6" t="str">
        <x:v>Willingdon Blvd / Bloor St W (Green P)</x:v>
      </x:c>
      <x:c r="D613" s="6" t="n">
        <x:v>784</x:v>
      </x:c>
      <x:c r="E613" s="6" t="n">
        <x:v>784</x:v>
      </x:c>
      <x:c r="F613" s="6" t="n">
        <x:v>0</x:v>
      </x:c>
      <x:c r="G613" s="6" t="n">
        <x:v>11</x:v>
      </x:c>
      <x:c r="H613" s="6" t="n">
        <x:v>114</x:v>
      </x:c>
      <x:c r="I613" s="6" t="n">
        <x:v>7989</x:v>
      </x:c>
      <x:c r="J613" s="11" t="n">
        <x:f>E613/D613</x:f>
        <x:v>1</x:v>
      </x:c>
      <x:c r="K613" s="11" t="n">
        <x:f>F613/D613</x:f>
        <x:v>0</x:v>
      </x:c>
      <x:c r="L613" s="13" t="n">
        <x:f>I613/D613</x:f>
        <x:v>10.190051020408163</x:v>
      </x:c>
      <x:c r="M613" s="6" t="str">
        <x:v>Included</x:v>
      </x:c>
    </x:row>
    <x:row r="614" ht="23" customHeight="1">
      <x:c r="B614" s="12" t="str">
        <x:v>7752</x:v>
      </x:c>
      <x:c r="C614" s="6" t="str">
        <x:v>1926 Lake Shore Blvd W</x:v>
      </x:c>
      <x:c r="D614" s="6" t="n">
        <x:v>785</x:v>
      </x:c>
      <x:c r="E614" s="6" t="n">
        <x:v>624</x:v>
      </x:c>
      <x:c r="F614" s="6" t="n">
        <x:v>161</x:v>
      </x:c>
      <x:c r="G614" s="6" t="n">
        <x:v>11</x:v>
      </x:c>
      <x:c r="H614" s="6" t="n">
        <x:v>114</x:v>
      </x:c>
      <x:c r="I614" s="6" t="n">
        <x:v>2658</x:v>
      </x:c>
      <x:c r="J614" s="11" t="n">
        <x:f>E614/D614</x:f>
        <x:v>0.7949044585987262</x:v>
      </x:c>
      <x:c r="K614" s="11" t="n">
        <x:f>F614/D614</x:f>
        <x:v>0.2050955414012739</x:v>
      </x:c>
      <x:c r="L614" s="13" t="n">
        <x:f>I614/D614</x:f>
        <x:v>3.385987261146497</x:v>
      </x:c>
      <x:c r="M614" s="6" t="str">
        <x:v>Included</x:v>
      </x:c>
    </x:row>
    <x:row r="615" ht="23" customHeight="1">
      <x:c r="B615" s="12" t="str">
        <x:v>7753</x:v>
      </x:c>
      <x:c r="C615" s="6" t="str">
        <x:v>36 Park Lawn Rd</x:v>
      </x:c>
      <x:c r="D615" s="6" t="n">
        <x:v>790</x:v>
      </x:c>
      <x:c r="E615" s="6" t="n">
        <x:v>653</x:v>
      </x:c>
      <x:c r="F615" s="6" t="n">
        <x:v>137</x:v>
      </x:c>
      <x:c r="G615" s="6" t="n">
        <x:v>11</x:v>
      </x:c>
      <x:c r="H615" s="6" t="n">
        <x:v>114</x:v>
      </x:c>
      <x:c r="I615" s="6" t="n">
        <x:v>3436</x:v>
      </x:c>
      <x:c r="J615" s="11" t="n">
        <x:f>E615/D615</x:f>
        <x:v>0.8265822784810126</x:v>
      </x:c>
      <x:c r="K615" s="11" t="n">
        <x:f>F615/D615</x:f>
        <x:v>0.17341772151898735</x:v>
      </x:c>
      <x:c r="L615" s="13" t="n">
        <x:f>I615/D615</x:f>
        <x:v>4.349367088607595</x:v>
      </x:c>
      <x:c r="M615" s="6" t="str">
        <x:v>Included</x:v>
      </x:c>
    </x:row>
    <x:row r="616" ht="23" customHeight="1">
      <x:c r="B616" s="12" t="str">
        <x:v>7754</x:v>
      </x:c>
      <x:c r="C616" s="6" t="str">
        <x:v>Walter Saunders Park</x:v>
      </x:c>
      <x:c r="D616" s="6" t="n">
        <x:v>788</x:v>
      </x:c>
      <x:c r="E616" s="6" t="n">
        <x:v>788</x:v>
      </x:c>
      <x:c r="F616" s="6" t="n">
        <x:v>0</x:v>
      </x:c>
      <x:c r="G616" s="6" t="n">
        <x:v>11</x:v>
      </x:c>
      <x:c r="H616" s="6" t="n">
        <x:v>113</x:v>
      </x:c>
      <x:c r="I616" s="6" t="n">
        <x:v>9447</x:v>
      </x:c>
      <x:c r="J616" s="11" t="n">
        <x:f>E616/D616</x:f>
        <x:v>1</x:v>
      </x:c>
      <x:c r="K616" s="11" t="n">
        <x:f>F616/D616</x:f>
        <x:v>0</x:v>
      </x:c>
      <x:c r="L616" s="13" t="n">
        <x:f>I616/D616</x:f>
        <x:v>11.988578680203046</x:v>
      </x:c>
      <x:c r="M616" s="6" t="str">
        <x:v>Included</x:v>
      </x:c>
    </x:row>
    <x:row r="617" ht="23" customHeight="1">
      <x:c r="B617" s="12" t="str">
        <x:v>7755</x:v>
      </x:c>
      <x:c r="C617" s="6" t="str">
        <x:v>Park Lawn Rd / Berry Rd</x:v>
      </x:c>
      <x:c r="D617" s="6" t="n">
        <x:v>781</x:v>
      </x:c>
      <x:c r="E617" s="6" t="n">
        <x:v>781</x:v>
      </x:c>
      <x:c r="F617" s="6" t="n">
        <x:v>0</x:v>
      </x:c>
      <x:c r="G617" s="6" t="n">
        <x:v>11</x:v>
      </x:c>
      <x:c r="H617" s="6" t="n">
        <x:v>114</x:v>
      </x:c>
      <x:c r="I617" s="6" t="n">
        <x:v>5187</x:v>
      </x:c>
      <x:c r="J617" s="11" t="n">
        <x:f>E617/D617</x:f>
        <x:v>1</x:v>
      </x:c>
      <x:c r="K617" s="11" t="n">
        <x:f>F617/D617</x:f>
        <x:v>0</x:v>
      </x:c>
      <x:c r="L617" s="13" t="n">
        <x:f>I617/D617</x:f>
        <x:v>6.641485275288092</x:v>
      </x:c>
      <x:c r="M617" s="6" t="str">
        <x:v>Included</x:v>
      </x:c>
    </x:row>
    <x:row r="618" ht="23" customHeight="1">
      <x:c r="B618" s="12" t="str">
        <x:v>7756</x:v>
      </x:c>
      <x:c r="C618" s="6" t="str">
        <x:v>Tobermory Dr / Finch Corridor Trail</x:v>
      </x:c>
      <x:c r="D618" s="6" t="n">
        <x:v>783</x:v>
      </x:c>
      <x:c r="E618" s="6" t="n">
        <x:v>783</x:v>
      </x:c>
      <x:c r="F618" s="6" t="n">
        <x:v>0</x:v>
      </x:c>
      <x:c r="G618" s="6" t="n">
        <x:v>11</x:v>
      </x:c>
      <x:c r="H618" s="6" t="n">
        <x:v>115</x:v>
      </x:c>
      <x:c r="I618" s="6" t="n">
        <x:v>11483</x:v>
      </x:c>
      <x:c r="J618" s="11" t="n">
        <x:f>E618/D618</x:f>
        <x:v>1</x:v>
      </x:c>
      <x:c r="K618" s="11" t="n">
        <x:f>F618/D618</x:f>
        <x:v>0</x:v>
      </x:c>
      <x:c r="L618" s="13" t="n">
        <x:f>I618/D618</x:f>
        <x:v>14.665389527458492</x:v>
      </x:c>
      <x:c r="M618" s="6" t="str">
        <x:v>Included</x:v>
      </x:c>
    </x:row>
    <x:row r="619" ht="23" customHeight="1">
      <x:c r="B619" s="12" t="str">
        <x:v>7757</x:v>
      </x:c>
      <x:c r="C619" s="6" t="str">
        <x:v>The Well</x:v>
      </x:c>
      <x:c r="D619" s="6" t="n">
        <x:v>790</x:v>
      </x:c>
      <x:c r="E619" s="6" t="n">
        <x:v>578</x:v>
      </x:c>
      <x:c r="F619" s="6" t="n">
        <x:v>212</x:v>
      </x:c>
      <x:c r="G619" s="6" t="n">
        <x:v>11</x:v>
      </x:c>
      <x:c r="H619" s="6" t="n">
        <x:v>115</x:v>
      </x:c>
      <x:c r="I619" s="6" t="n">
        <x:v>2908</x:v>
      </x:c>
      <x:c r="J619" s="11" t="n">
        <x:f>E619/D619</x:f>
        <x:v>0.7316455696202532</x:v>
      </x:c>
      <x:c r="K619" s="11" t="n">
        <x:f>F619/D619</x:f>
        <x:v>0.2683544303797468</x:v>
      </x:c>
      <x:c r="L619" s="13" t="n">
        <x:f>I619/D619</x:f>
        <x:v>3.681012658227848</x:v>
      </x:c>
      <x:c r="M619" s="6" t="str">
        <x:v>Included</x:v>
      </x:c>
    </x:row>
    <x:row r="620" ht="23" customHeight="1">
      <x:c r="B620" s="12" t="str">
        <x:v>7758</x:v>
      </x:c>
      <x:c r="C620" s="6" t="str">
        <x:v>Driftwood Ave / Finch Corridor Trail</x:v>
      </x:c>
      <x:c r="D620" s="6" t="n">
        <x:v>790</x:v>
      </x:c>
      <x:c r="E620" s="6" t="n">
        <x:v>790</x:v>
      </x:c>
      <x:c r="F620" s="6" t="n">
        <x:v>0</x:v>
      </x:c>
      <x:c r="G620" s="6" t="n">
        <x:v>11</x:v>
      </x:c>
      <x:c r="H620" s="6" t="n">
        <x:v>114</x:v>
      </x:c>
      <x:c r="I620" s="6" t="n">
        <x:v>10561</x:v>
      </x:c>
      <x:c r="J620" s="11" t="n">
        <x:f>E620/D620</x:f>
        <x:v>1</x:v>
      </x:c>
      <x:c r="K620" s="11" t="n">
        <x:f>F620/D620</x:f>
        <x:v>0</x:v>
      </x:c>
      <x:c r="L620" s="13" t="n">
        <x:f>I620/D620</x:f>
        <x:v>13.368354430379746</x:v>
      </x:c>
      <x:c r="M620" s="6" t="str">
        <x:v>Included</x:v>
      </x:c>
    </x:row>
    <x:row r="621" ht="23" customHeight="1">
      <x:c r="B621" s="12" t="str">
        <x:v>7759</x:v>
      </x:c>
      <x:c r="C621" s="6" t="str">
        <x:v>The Pond Rd / Shoreham Dr</x:v>
      </x:c>
      <x:c r="D621" s="6" t="n">
        <x:v>784</x:v>
      </x:c>
      <x:c r="E621" s="6" t="n">
        <x:v>607</x:v>
      </x:c>
      <x:c r="F621" s="6" t="n">
        <x:v>177</x:v>
      </x:c>
      <x:c r="G621" s="6" t="n">
        <x:v>11</x:v>
      </x:c>
      <x:c r="H621" s="6" t="n">
        <x:v>115</x:v>
      </x:c>
      <x:c r="I621" s="6" t="n">
        <x:v>7435</x:v>
      </x:c>
      <x:c r="J621" s="11" t="n">
        <x:f>E621/D621</x:f>
        <x:v>0.7742346938775511</x:v>
      </x:c>
      <x:c r="K621" s="11" t="n">
        <x:f>F621/D621</x:f>
        <x:v>0.22576530612244897</x:v>
      </x:c>
      <x:c r="L621" s="13" t="n">
        <x:f>I621/D621</x:f>
        <x:v>9.483418367346939</x:v>
      </x:c>
      <x:c r="M621" s="6" t="str">
        <x:v>Included</x:v>
      </x:c>
    </x:row>
    <x:row r="622" ht="23" customHeight="1">
      <x:c r="B622" s="12" t="str">
        <x:v>7760</x:v>
      </x:c>
      <x:c r="C622" s="6" t="str">
        <x:v>Grand Avenue Park</x:v>
      </x:c>
      <x:c r="D622" s="6" t="n">
        <x:v>789</x:v>
      </x:c>
      <x:c r="E622" s="6" t="n">
        <x:v>778</x:v>
      </x:c>
      <x:c r="F622" s="6" t="n">
        <x:v>11</x:v>
      </x:c>
      <x:c r="G622" s="6" t="n">
        <x:v>11</x:v>
      </x:c>
      <x:c r="H622" s="6" t="n">
        <x:v>114</x:v>
      </x:c>
      <x:c r="I622" s="6" t="n">
        <x:v>10016</x:v>
      </x:c>
      <x:c r="J622" s="11" t="n">
        <x:f>E622/D622</x:f>
        <x:v>0.9860583016476553</x:v>
      </x:c>
      <x:c r="K622" s="11" t="n">
        <x:f>F622/D622</x:f>
        <x:v>0.01394169835234474</x:v>
      </x:c>
      <x:c r="L622" s="13" t="n">
        <x:f>I622/D622</x:f>
        <x:v>12.694550063371356</x:v>
      </x:c>
      <x:c r="M622" s="6" t="str">
        <x:v>Included</x:v>
      </x:c>
    </x:row>
    <x:row r="623" ht="23" customHeight="1">
      <x:c r="B623" s="12" t="str">
        <x:v>7761</x:v>
      </x:c>
      <x:c r="C623" s="6" t="str">
        <x:v>Moss Park</x:v>
      </x:c>
      <x:c r="D623" s="6" t="n">
        <x:v>778</x:v>
      </x:c>
      <x:c r="E623" s="6" t="n">
        <x:v>681</x:v>
      </x:c>
      <x:c r="F623" s="6" t="n">
        <x:v>97</x:v>
      </x:c>
      <x:c r="G623" s="6" t="n">
        <x:v>11</x:v>
      </x:c>
      <x:c r="H623" s="6" t="n">
        <x:v>115</x:v>
      </x:c>
      <x:c r="I623" s="6" t="n">
        <x:v>5794</x:v>
      </x:c>
      <x:c r="J623" s="11" t="n">
        <x:f>E623/D623</x:f>
        <x:v>0.8753213367609255</x:v>
      </x:c>
      <x:c r="K623" s="11" t="n">
        <x:f>F623/D623</x:f>
        <x:v>0.12467866323907455</x:v>
      </x:c>
      <x:c r="L623" s="13" t="n">
        <x:f>I623/D623</x:f>
        <x:v>7.447300771208226</x:v>
      </x:c>
      <x:c r="M623" s="6" t="str">
        <x:v>Included</x:v>
      </x:c>
    </x:row>
    <x:row r="624" ht="23" customHeight="1">
      <x:c r="B624" s="12" t="str">
        <x:v>7762</x:v>
      </x:c>
      <x:c r="C624" s="6" t="str">
        <x:v>College St / Henry St</x:v>
      </x:c>
      <x:c r="D624" s="6" t="n">
        <x:v>791</x:v>
      </x:c>
      <x:c r="E624" s="6" t="n">
        <x:v>738</x:v>
      </x:c>
      <x:c r="F624" s="6" t="n">
        <x:v>53</x:v>
      </x:c>
      <x:c r="G624" s="6" t="n">
        <x:v>11</x:v>
      </x:c>
      <x:c r="H624" s="6" t="n">
        <x:v>115</x:v>
      </x:c>
      <x:c r="I624" s="6" t="n">
        <x:v>6653</x:v>
      </x:c>
      <x:c r="J624" s="11" t="n">
        <x:f>E624/D624</x:f>
        <x:v>0.9329962073324906</x:v>
      </x:c>
      <x:c r="K624" s="11" t="n">
        <x:f>F624/D624</x:f>
        <x:v>0.06700379266750948</x:v>
      </x:c>
      <x:c r="L624" s="13" t="n">
        <x:f>I624/D624</x:f>
        <x:v>8.41087231352718</x:v>
      </x:c>
      <x:c r="M624" s="6" t="str">
        <x:v>Included</x:v>
      </x:c>
    </x:row>
    <x:row r="625" ht="23" customHeight="1">
      <x:c r="B625" s="12" t="str">
        <x:v>7765</x:v>
      </x:c>
      <x:c r="C625" s="6" t="str">
        <x:v>St. John's Rd / Dundas St W</x:v>
      </x:c>
      <x:c r="D625" s="6" t="n">
        <x:v>787</x:v>
      </x:c>
      <x:c r="E625" s="6" t="n">
        <x:v>787</x:v>
      </x:c>
      <x:c r="F625" s="6" t="n">
        <x:v>0</x:v>
      </x:c>
      <x:c r="G625" s="6" t="n">
        <x:v>11</x:v>
      </x:c>
      <x:c r="H625" s="6" t="n">
        <x:v>115</x:v>
      </x:c>
      <x:c r="I625" s="6" t="n">
        <x:v>8515</x:v>
      </x:c>
      <x:c r="J625" s="11" t="n">
        <x:f>E625/D625</x:f>
        <x:v>1</x:v>
      </x:c>
      <x:c r="K625" s="11" t="n">
        <x:f>F625/D625</x:f>
        <x:v>0</x:v>
      </x:c>
      <x:c r="L625" s="13" t="n">
        <x:f>I625/D625</x:f>
        <x:v>10.819567979669632</x:v>
      </x:c>
      <x:c r="M625" s="6" t="str">
        <x:v>Included</x:v>
      </x:c>
    </x:row>
    <x:row r="626" ht="23" customHeight="1">
      <x:c r="B626" s="12" t="str">
        <x:v>7766</x:v>
      </x:c>
      <x:c r="C626" s="6" t="str">
        <x:v>Albany Ave / Bloor St W</x:v>
      </x:c>
      <x:c r="D626" s="6" t="n">
        <x:v>780</x:v>
      </x:c>
      <x:c r="E626" s="6" t="n">
        <x:v>780</x:v>
      </x:c>
      <x:c r="F626" s="6" t="n">
        <x:v>0</x:v>
      </x:c>
      <x:c r="G626" s="6" t="n">
        <x:v>11</x:v>
      </x:c>
      <x:c r="H626" s="6" t="n">
        <x:v>115</x:v>
      </x:c>
      <x:c r="I626" s="6" t="n">
        <x:v>9760</x:v>
      </x:c>
      <x:c r="J626" s="11" t="n">
        <x:f>E626/D626</x:f>
        <x:v>1</x:v>
      </x:c>
      <x:c r="K626" s="11" t="n">
        <x:f>F626/D626</x:f>
        <x:v>0</x:v>
      </x:c>
      <x:c r="L626" s="13" t="n">
        <x:f>I626/D626</x:f>
        <x:v>12.512820512820513</x:v>
      </x:c>
      <x:c r="M626" s="6" t="str">
        <x:v>Included</x:v>
      </x:c>
    </x:row>
    <x:row r="627" ht="23" customHeight="1">
      <x:c r="B627" s="12" t="str">
        <x:v>7767</x:v>
      </x:c>
      <x:c r="C627" s="6" t="str">
        <x:v>Pioneer Village Subway Station</x:v>
      </x:c>
      <x:c r="D627" s="6" t="n">
        <x:v>787</x:v>
      </x:c>
      <x:c r="E627" s="6" t="n">
        <x:v>787</x:v>
      </x:c>
      <x:c r="F627" s="6" t="n">
        <x:v>0</x:v>
      </x:c>
      <x:c r="G627" s="6" t="n">
        <x:v>11</x:v>
      </x:c>
      <x:c r="H627" s="6" t="n">
        <x:v>114</x:v>
      </x:c>
      <x:c r="I627" s="6" t="n">
        <x:v>5778</x:v>
      </x:c>
      <x:c r="J627" s="11" t="n">
        <x:f>E627/D627</x:f>
        <x:v>1</x:v>
      </x:c>
      <x:c r="K627" s="11" t="n">
        <x:f>F627/D627</x:f>
        <x:v>0</x:v>
      </x:c>
      <x:c r="L627" s="13" t="n">
        <x:f>I627/D627</x:f>
        <x:v>7.341804320203304</x:v>
      </x:c>
      <x:c r="M627" s="6" t="str">
        <x:v>Included</x:v>
      </x:c>
    </x:row>
    <x:row r="628" ht="23" customHeight="1">
      <x:c r="B628" s="12" t="str">
        <x:v>7768</x:v>
      </x:c>
      <x:c r="C628" s="6" t="str">
        <x:v>Armoury St / Chestnut St</x:v>
      </x:c>
      <x:c r="D628" s="6" t="n">
        <x:v>779</x:v>
      </x:c>
      <x:c r="E628" s="6" t="n">
        <x:v>764</x:v>
      </x:c>
      <x:c r="F628" s="6" t="n">
        <x:v>15</x:v>
      </x:c>
      <x:c r="G628" s="6" t="n">
        <x:v>11</x:v>
      </x:c>
      <x:c r="H628" s="6" t="n">
        <x:v>114</x:v>
      </x:c>
      <x:c r="I628" s="6" t="n">
        <x:v>5563</x:v>
      </x:c>
      <x:c r="J628" s="11" t="n">
        <x:f>E628/D628</x:f>
        <x:v>0.9807445442875481</x:v>
      </x:c>
      <x:c r="K628" s="11" t="n">
        <x:f>F628/D628</x:f>
        <x:v>0.019255455712451863</x:v>
      </x:c>
      <x:c r="L628" s="13" t="n">
        <x:f>I628/D628</x:f>
        <x:v>7.141206675224647</x:v>
      </x:c>
      <x:c r="M628" s="6" t="str">
        <x:v>Included</x:v>
      </x:c>
    </x:row>
    <x:row r="629" ht="23" customHeight="1">
      <x:c r="B629" s="12" t="str">
        <x:v>7769</x:v>
      </x:c>
      <x:c r="C629" s="6" t="str">
        <x:v>Lake Shore Blvd W / Brow Dr</x:v>
      </x:c>
      <x:c r="D629" s="6" t="n">
        <x:v>789</x:v>
      </x:c>
      <x:c r="E629" s="6" t="n">
        <x:v>789</x:v>
      </x:c>
      <x:c r="F629" s="6" t="n">
        <x:v>0</x:v>
      </x:c>
      <x:c r="G629" s="6" t="n">
        <x:v>11</x:v>
      </x:c>
      <x:c r="H629" s="6" t="n">
        <x:v>114</x:v>
      </x:c>
      <x:c r="I629" s="6" t="n">
        <x:v>8823</x:v>
      </x:c>
      <x:c r="J629" s="11" t="n">
        <x:f>E629/D629</x:f>
        <x:v>1</x:v>
      </x:c>
      <x:c r="K629" s="11" t="n">
        <x:f>F629/D629</x:f>
        <x:v>0</x:v>
      </x:c>
      <x:c r="L629" s="13" t="n">
        <x:f>I629/D629</x:f>
        <x:v>11.182509505703422</x:v>
      </x:c>
      <x:c r="M629" s="6" t="str">
        <x:v>Included</x:v>
      </x:c>
    </x:row>
    <x:row r="630" ht="23" customHeight="1">
      <x:c r="B630" s="12" t="str">
        <x:v>7770</x:v>
      </x:c>
      <x:c r="C630" s="6" t="str">
        <x:v>Spadina Ave / Sullivan St</x:v>
      </x:c>
      <x:c r="D630" s="6" t="n">
        <x:v>788</x:v>
      </x:c>
      <x:c r="E630" s="6" t="n">
        <x:v>727</x:v>
      </x:c>
      <x:c r="F630" s="6" t="n">
        <x:v>61</x:v>
      </x:c>
      <x:c r="G630" s="6" t="n">
        <x:v>11</x:v>
      </x:c>
      <x:c r="H630" s="6" t="n">
        <x:v>114</x:v>
      </x:c>
      <x:c r="I630" s="6" t="n">
        <x:v>6089</x:v>
      </x:c>
      <x:c r="J630" s="11" t="n">
        <x:f>E630/D630</x:f>
        <x:v>0.9225888324873096</x:v>
      </x:c>
      <x:c r="K630" s="11" t="n">
        <x:f>F630/D630</x:f>
        <x:v>0.07741116751269035</x:v>
      </x:c>
      <x:c r="L630" s="13" t="n">
        <x:f>I630/D630</x:f>
        <x:v>7.727157360406092</x:v>
      </x:c>
      <x:c r="M630" s="6" t="str">
        <x:v>Included</x:v>
      </x:c>
    </x:row>
    <x:row r="631" ht="23" customHeight="1">
      <x:c r="B631" s="12" t="str">
        <x:v>7771</x:v>
      </x:c>
      <x:c r="C631" s="6" t="str">
        <x:v>St. Clair Ave W / Osler St</x:v>
      </x:c>
      <x:c r="D631" s="6" t="n">
        <x:v>783</x:v>
      </x:c>
      <x:c r="E631" s="6" t="n">
        <x:v>780</x:v>
      </x:c>
      <x:c r="F631" s="6" t="n">
        <x:v>3</x:v>
      </x:c>
      <x:c r="G631" s="6" t="n">
        <x:v>11</x:v>
      </x:c>
      <x:c r="H631" s="6" t="n">
        <x:v>116</x:v>
      </x:c>
      <x:c r="I631" s="6" t="n">
        <x:v>5113</x:v>
      </x:c>
      <x:c r="J631" s="11" t="n">
        <x:f>E631/D631</x:f>
        <x:v>0.9961685823754789</x:v>
      </x:c>
      <x:c r="K631" s="11" t="n">
        <x:f>F631/D631</x:f>
        <x:v>0.0038314176245210726</x:v>
      </x:c>
      <x:c r="L631" s="13" t="n">
        <x:f>I631/D631</x:f>
        <x:v>6.530012771392082</x:v>
      </x:c>
      <x:c r="M631" s="6" t="str">
        <x:v>Included</x:v>
      </x:c>
    </x:row>
    <x:row r="632" ht="23" customHeight="1">
      <x:c r="B632" s="12" t="str">
        <x:v>7772</x:v>
      </x:c>
      <x:c r="C632" s="6" t="str">
        <x:v>Simcoe St / King St W</x:v>
      </x:c>
      <x:c r="D632" s="6" t="n">
        <x:v>791</x:v>
      </x:c>
      <x:c r="E632" s="6" t="n">
        <x:v>596</x:v>
      </x:c>
      <x:c r="F632" s="6" t="n">
        <x:v>195</x:v>
      </x:c>
      <x:c r="G632" s="6" t="n">
        <x:v>11</x:v>
      </x:c>
      <x:c r="H632" s="6" t="n">
        <x:v>114</x:v>
      </x:c>
      <x:c r="I632" s="6" t="n">
        <x:v>4895</x:v>
      </x:c>
      <x:c r="J632" s="11" t="n">
        <x:f>E632/D632</x:f>
        <x:v>0.7534766118836915</x:v>
      </x:c>
      <x:c r="K632" s="11" t="n">
        <x:f>F632/D632</x:f>
        <x:v>0.24652338811630847</x:v>
      </x:c>
      <x:c r="L632" s="13" t="n">
        <x:f>I632/D632</x:f>
        <x:v>6.188369152970923</x:v>
      </x:c>
      <x:c r="M632" s="6" t="str">
        <x:v>Included</x:v>
      </x:c>
    </x:row>
    <x:row r="633" ht="23" customHeight="1">
      <x:c r="B633" s="12" t="str">
        <x:v>7773</x:v>
      </x:c>
      <x:c r="C633" s="6" t="str">
        <x:v>Grenoble Dr / Gateway Blvd</x:v>
      </x:c>
      <x:c r="D633" s="6" t="n">
        <x:v>787</x:v>
      </x:c>
      <x:c r="E633" s="6" t="n">
        <x:v>787</x:v>
      </x:c>
      <x:c r="F633" s="6" t="n">
        <x:v>0</x:v>
      </x:c>
      <x:c r="G633" s="6" t="n">
        <x:v>11</x:v>
      </x:c>
      <x:c r="H633" s="6" t="n">
        <x:v>115</x:v>
      </x:c>
      <x:c r="I633" s="6" t="n">
        <x:v>9742</x:v>
      </x:c>
      <x:c r="J633" s="11" t="n">
        <x:f>E633/D633</x:f>
        <x:v>1</x:v>
      </x:c>
      <x:c r="K633" s="11" t="n">
        <x:f>F633/D633</x:f>
        <x:v>0</x:v>
      </x:c>
      <x:c r="L633" s="13" t="n">
        <x:f>I633/D633</x:f>
        <x:v>12.378653113087674</x:v>
      </x:c>
      <x:c r="M633" s="6" t="str">
        <x:v>Included</x:v>
      </x:c>
    </x:row>
    <x:row r="634" ht="23" customHeight="1">
      <x:c r="B634" s="12" t="str">
        <x:v>7774</x:v>
      </x:c>
      <x:c r="C634" s="6" t="str">
        <x:v>Grenoble Dr / Deauville Ln</x:v>
      </x:c>
      <x:c r="D634" s="6" t="n">
        <x:v>782</x:v>
      </x:c>
      <x:c r="E634" s="6" t="n">
        <x:v>782</x:v>
      </x:c>
      <x:c r="F634" s="6" t="n">
        <x:v>0</x:v>
      </x:c>
      <x:c r="G634" s="6" t="n">
        <x:v>11</x:v>
      </x:c>
      <x:c r="H634" s="6" t="n">
        <x:v>116</x:v>
      </x:c>
      <x:c r="I634" s="6" t="n">
        <x:v>11515</x:v>
      </x:c>
      <x:c r="J634" s="11" t="n">
        <x:f>E634/D634</x:f>
        <x:v>1</x:v>
      </x:c>
      <x:c r="K634" s="11" t="n">
        <x:f>F634/D634</x:f>
        <x:v>0</x:v>
      </x:c>
      <x:c r="L634" s="13" t="n">
        <x:f>I634/D634</x:f>
        <x:v>14.725063938618925</x:v>
      </x:c>
      <x:c r="M634" s="6" t="str">
        <x:v>Included</x:v>
      </x:c>
    </x:row>
    <x:row r="635" ht="23" customHeight="1">
      <x:c r="B635" s="12" t="str">
        <x:v>7775</x:v>
      </x:c>
      <x:c r="C635" s="6" t="str">
        <x:v>Grenoble Dr / Vendome Pl</x:v>
      </x:c>
      <x:c r="D635" s="6" t="n">
        <x:v>790</x:v>
      </x:c>
      <x:c r="E635" s="6" t="n">
        <x:v>790</x:v>
      </x:c>
      <x:c r="F635" s="6" t="n">
        <x:v>0</x:v>
      </x:c>
      <x:c r="G635" s="6" t="n">
        <x:v>11</x:v>
      </x:c>
      <x:c r="H635" s="6" t="n">
        <x:v>116</x:v>
      </x:c>
      <x:c r="I635" s="6" t="n">
        <x:v>7488</x:v>
      </x:c>
      <x:c r="J635" s="11" t="n">
        <x:f>E635/D635</x:f>
        <x:v>1</x:v>
      </x:c>
      <x:c r="K635" s="11" t="n">
        <x:f>F635/D635</x:f>
        <x:v>0</x:v>
      </x:c>
      <x:c r="L635" s="13" t="n">
        <x:f>I635/D635</x:f>
        <x:v>9.478481012658229</x:v>
      </x:c>
      <x:c r="M635" s="6" t="str">
        <x:v>Included</x:v>
      </x:c>
    </x:row>
    <x:row r="636" ht="23" customHeight="1">
      <x:c r="B636" s="12" t="str">
        <x:v>7776</x:v>
      </x:c>
      <x:c r="C636" s="6" t="str">
        <x:v>Ferrand Dr / Rochefort Dr</x:v>
      </x:c>
      <x:c r="D636" s="6" t="n">
        <x:v>787</x:v>
      </x:c>
      <x:c r="E636" s="6" t="n">
        <x:v>787</x:v>
      </x:c>
      <x:c r="F636" s="6" t="n">
        <x:v>0</x:v>
      </x:c>
      <x:c r="G636" s="6" t="n">
        <x:v>11</x:v>
      </x:c>
      <x:c r="H636" s="6" t="n">
        <x:v>116</x:v>
      </x:c>
      <x:c r="I636" s="6" t="n">
        <x:v>14298</x:v>
      </x:c>
      <x:c r="J636" s="11" t="n">
        <x:f>E636/D636</x:f>
        <x:v>1</x:v>
      </x:c>
      <x:c r="K636" s="11" t="n">
        <x:f>F636/D636</x:f>
        <x:v>0</x:v>
      </x:c>
      <x:c r="L636" s="13" t="n">
        <x:f>I636/D636</x:f>
        <x:v>18.167725540025412</x:v>
      </x:c>
      <x:c r="M636" s="6" t="str">
        <x:v>Included</x:v>
      </x:c>
    </x:row>
    <x:row r="637" ht="23" customHeight="1">
      <x:c r="B637" s="12" t="str">
        <x:v>7777</x:v>
      </x:c>
      <x:c r="C637" s="6" t="str">
        <x:v>Thorncliffe Park Dr / Leaside Park Trail</x:v>
      </x:c>
      <x:c r="D637" s="6" t="n">
        <x:v>786</x:v>
      </x:c>
      <x:c r="E637" s="6" t="n">
        <x:v>786</x:v>
      </x:c>
      <x:c r="F637" s="6" t="n">
        <x:v>0</x:v>
      </x:c>
      <x:c r="G637" s="6" t="n">
        <x:v>11</x:v>
      </x:c>
      <x:c r="H637" s="6" t="n">
        <x:v>115</x:v>
      </x:c>
      <x:c r="I637" s="6" t="n">
        <x:v>10372</x:v>
      </x:c>
      <x:c r="J637" s="11" t="n">
        <x:f>E637/D637</x:f>
        <x:v>1</x:v>
      </x:c>
      <x:c r="K637" s="11" t="n">
        <x:f>F637/D637</x:f>
        <x:v>0</x:v>
      </x:c>
      <x:c r="L637" s="13" t="n">
        <x:f>I637/D637</x:f>
        <x:v>13.195928753180661</x:v>
      </x:c>
      <x:c r="M637" s="6" t="str">
        <x:v>Included</x:v>
      </x:c>
    </x:row>
    <x:row r="638" ht="23" customHeight="1">
      <x:c r="B638" s="12" t="str">
        <x:v>7778</x:v>
      </x:c>
      <x:c r="C638" s="6" t="str">
        <x:v>75 Thorncliffe Park Dr</x:v>
      </x:c>
      <x:c r="D638" s="6" t="n">
        <x:v>785</x:v>
      </x:c>
      <x:c r="E638" s="6" t="n">
        <x:v>785</x:v>
      </x:c>
      <x:c r="F638" s="6" t="n">
        <x:v>0</x:v>
      </x:c>
      <x:c r="G638" s="6" t="n">
        <x:v>11</x:v>
      </x:c>
      <x:c r="H638" s="6" t="n">
        <x:v>114</x:v>
      </x:c>
      <x:c r="I638" s="6" t="n">
        <x:v>7261</x:v>
      </x:c>
      <x:c r="J638" s="11" t="n">
        <x:f>E638/D638</x:f>
        <x:v>1</x:v>
      </x:c>
      <x:c r="K638" s="11" t="n">
        <x:f>F638/D638</x:f>
        <x:v>0</x:v>
      </x:c>
      <x:c r="L638" s="13" t="n">
        <x:f>I638/D638</x:f>
        <x:v>9.249681528662421</x:v>
      </x:c>
      <x:c r="M638" s="6" t="str">
        <x:v>Included</x:v>
      </x:c>
    </x:row>
    <x:row r="639" ht="23" customHeight="1">
      <x:c r="B639" s="12" t="str">
        <x:v>7779</x:v>
      </x:c>
      <x:c r="C639" s="6" t="str">
        <x:v>165 McRae Dr</x:v>
      </x:c>
      <x:c r="D639" s="6" t="n">
        <x:v>792</x:v>
      </x:c>
      <x:c r="E639" s="6" t="n">
        <x:v>792</x:v>
      </x:c>
      <x:c r="F639" s="6" t="n">
        <x:v>0</x:v>
      </x:c>
      <x:c r="G639" s="6" t="n">
        <x:v>11</x:v>
      </x:c>
      <x:c r="H639" s="6" t="n">
        <x:v>115</x:v>
      </x:c>
      <x:c r="I639" s="6" t="n">
        <x:v>9865</x:v>
      </x:c>
      <x:c r="J639" s="11" t="n">
        <x:f>E639/D639</x:f>
        <x:v>1</x:v>
      </x:c>
      <x:c r="K639" s="11" t="n">
        <x:f>F639/D639</x:f>
        <x:v>0</x:v>
      </x:c>
      <x:c r="L639" s="13" t="n">
        <x:f>I639/D639</x:f>
        <x:v>12.455808080808081</x:v>
      </x:c>
      <x:c r="M639" s="6" t="str">
        <x:v>Included</x:v>
      </x:c>
    </x:row>
    <x:row r="640" ht="23" customHeight="1">
      <x:c r="B640" s="12" t="str">
        <x:v>7780</x:v>
      </x:c>
      <x:c r="C640" s="6" t="str">
        <x:v>Mount Pleasant Rd / Davisville Ave - SMART</x:v>
      </x:c>
      <x:c r="D640" s="6" t="n">
        <x:v>785</x:v>
      </x:c>
      <x:c r="E640" s="6" t="n">
        <x:v>785</x:v>
      </x:c>
      <x:c r="F640" s="6" t="n">
        <x:v>0</x:v>
      </x:c>
      <x:c r="G640" s="6" t="n">
        <x:v>11</x:v>
      </x:c>
      <x:c r="H640" s="6" t="n">
        <x:v>114</x:v>
      </x:c>
      <x:c r="I640" s="6" t="n">
        <x:v>7965</x:v>
      </x:c>
      <x:c r="J640" s="11" t="n">
        <x:f>E640/D640</x:f>
        <x:v>1</x:v>
      </x:c>
      <x:c r="K640" s="11" t="n">
        <x:f>F640/D640</x:f>
        <x:v>0</x:v>
      </x:c>
      <x:c r="L640" s="13" t="n">
        <x:f>I640/D640</x:f>
        <x:v>10.146496815286625</x:v>
      </x:c>
      <x:c r="M640" s="6" t="str">
        <x:v>Included</x:v>
      </x:c>
    </x:row>
    <x:row r="641" ht="23" customHeight="1">
      <x:c r="B641" s="12" t="str">
        <x:v>7781</x:v>
      </x:c>
      <x:c r="C641" s="6" t="str">
        <x:v>St. Clair Ave W / Avenue Rd</x:v>
      </x:c>
      <x:c r="D641" s="6" t="n">
        <x:v>785</x:v>
      </x:c>
      <x:c r="E641" s="6" t="n">
        <x:v>785</x:v>
      </x:c>
      <x:c r="F641" s="6" t="n">
        <x:v>0</x:v>
      </x:c>
      <x:c r="G641" s="6" t="n">
        <x:v>11</x:v>
      </x:c>
      <x:c r="H641" s="6" t="n">
        <x:v>115</x:v>
      </x:c>
      <x:c r="I641" s="6" t="n">
        <x:v>9140</x:v>
      </x:c>
      <x:c r="J641" s="11" t="n">
        <x:f>E641/D641</x:f>
        <x:v>1</x:v>
      </x:c>
      <x:c r="K641" s="11" t="n">
        <x:f>F641/D641</x:f>
        <x:v>0</x:v>
      </x:c>
      <x:c r="L641" s="13" t="n">
        <x:f>I641/D641</x:f>
        <x:v>11.643312101910828</x:v>
      </x:c>
      <x:c r="M641" s="6" t="str">
        <x:v>Included</x:v>
      </x:c>
    </x:row>
    <x:row r="642" ht="23" customHeight="1">
      <x:c r="B642" s="12" t="str">
        <x:v>7782</x:v>
      </x:c>
      <x:c r="C642" s="6" t="str">
        <x:v>Downsview Park Subway Station - SMART</x:v>
      </x:c>
      <x:c r="D642" s="6" t="n">
        <x:v>796</x:v>
      </x:c>
      <x:c r="E642" s="6" t="n">
        <x:v>796</x:v>
      </x:c>
      <x:c r="F642" s="6" t="n">
        <x:v>0</x:v>
      </x:c>
      <x:c r="G642" s="6" t="n">
        <x:v>11</x:v>
      </x:c>
      <x:c r="H642" s="6" t="n">
        <x:v>115</x:v>
      </x:c>
      <x:c r="I642" s="6" t="n">
        <x:v>12381</x:v>
      </x:c>
      <x:c r="J642" s="11" t="n">
        <x:f>E642/D642</x:f>
        <x:v>1</x:v>
      </x:c>
      <x:c r="K642" s="11" t="n">
        <x:f>F642/D642</x:f>
        <x:v>0</x:v>
      </x:c>
      <x:c r="L642" s="13" t="n">
        <x:f>I642/D642</x:f>
        <x:v>15.554020100502512</x:v>
      </x:c>
      <x:c r="M642" s="6" t="str">
        <x:v>Included</x:v>
      </x:c>
    </x:row>
    <x:row r="643" ht="23" customHeight="1">
      <x:c r="B643" s="12" t="str">
        <x:v>7783</x:v>
      </x:c>
      <x:c r="C643" s="6" t="str">
        <x:v>60 Carl Hall Rd - SMART</x:v>
      </x:c>
      <x:c r="D643" s="6" t="n">
        <x:v>791</x:v>
      </x:c>
      <x:c r="E643" s="6" t="n">
        <x:v>791</x:v>
      </x:c>
      <x:c r="F643" s="6" t="n">
        <x:v>0</x:v>
      </x:c>
      <x:c r="G643" s="6" t="n">
        <x:v>11</x:v>
      </x:c>
      <x:c r="H643" s="6" t="n">
        <x:v>114</x:v>
      </x:c>
      <x:c r="I643" s="6" t="n">
        <x:v>14019</x:v>
      </x:c>
      <x:c r="J643" s="11" t="n">
        <x:f>E643/D643</x:f>
        <x:v>1</x:v>
      </x:c>
      <x:c r="K643" s="11" t="n">
        <x:f>F643/D643</x:f>
        <x:v>0</x:v>
      </x:c>
      <x:c r="L643" s="13" t="n">
        <x:f>I643/D643</x:f>
        <x:v>17.723135271807838</x:v>
      </x:c>
      <x:c r="M643" s="6" t="str">
        <x:v>Included</x:v>
      </x:c>
    </x:row>
    <x:row r="644" ht="23" customHeight="1">
      <x:c r="B644" s="12" t="str">
        <x:v>7784</x:v>
      </x:c>
      <x:c r="C644" s="6" t="str">
        <x:v>Downsview Park Blvd / Keele St  - SMART</x:v>
      </x:c>
      <x:c r="D644" s="6" t="n">
        <x:v>786</x:v>
      </x:c>
      <x:c r="E644" s="6" t="n">
        <x:v>760</x:v>
      </x:c>
      <x:c r="F644" s="6" t="n">
        <x:v>26</x:v>
      </x:c>
      <x:c r="G644" s="6" t="n">
        <x:v>11</x:v>
      </x:c>
      <x:c r="H644" s="6" t="n">
        <x:v>114</x:v>
      </x:c>
      <x:c r="I644" s="6" t="n">
        <x:v>9787</x:v>
      </x:c>
      <x:c r="J644" s="11" t="n">
        <x:f>E644/D644</x:f>
        <x:v>0.9669211195928753</x:v>
      </x:c>
      <x:c r="K644" s="11" t="n">
        <x:f>F644/D644</x:f>
        <x:v>0.03307888040712468</x:v>
      </x:c>
      <x:c r="L644" s="13" t="n">
        <x:f>I644/D644</x:f>
        <x:v>12.451653944020356</x:v>
      </x:c>
      <x:c r="M644" s="6" t="str">
        <x:v>Included</x:v>
      </x:c>
    </x:row>
    <x:row r="645" ht="23" customHeight="1">
      <x:c r="B645" s="12" t="str">
        <x:v>7785</x:v>
      </x:c>
      <x:c r="C645" s="6" t="str">
        <x:v>Keele St / Dovehouse Ave - SMART</x:v>
      </x:c>
      <x:c r="D645" s="6" t="n">
        <x:v>788</x:v>
      </x:c>
      <x:c r="E645" s="6" t="n">
        <x:v>788</x:v>
      </x:c>
      <x:c r="F645" s="6" t="n">
        <x:v>0</x:v>
      </x:c>
      <x:c r="G645" s="6" t="n">
        <x:v>11</x:v>
      </x:c>
      <x:c r="H645" s="6" t="n">
        <x:v>115</x:v>
      </x:c>
      <x:c r="I645" s="6" t="n">
        <x:v>9786</x:v>
      </x:c>
      <x:c r="J645" s="11" t="n">
        <x:f>E645/D645</x:f>
        <x:v>1</x:v>
      </x:c>
      <x:c r="K645" s="11" t="n">
        <x:f>F645/D645</x:f>
        <x:v>0</x:v>
      </x:c>
      <x:c r="L645" s="13" t="n">
        <x:f>I645/D645</x:f>
        <x:v>12.418781725888325</x:v>
      </x:c>
      <x:c r="M645" s="6" t="str">
        <x:v>Included</x:v>
      </x:c>
    </x:row>
    <x:row r="646" ht="23" customHeight="1">
      <x:c r="B646" s="12" t="str">
        <x:v>7787</x:v>
      </x:c>
      <x:c r="C646" s="6" t="str">
        <x:v>HTO Park West</x:v>
      </x:c>
      <x:c r="D646" s="6" t="n">
        <x:v>783</x:v>
      </x:c>
      <x:c r="E646" s="6" t="n">
        <x:v>626</x:v>
      </x:c>
      <x:c r="F646" s="6" t="n">
        <x:v>157</x:v>
      </x:c>
      <x:c r="G646" s="6" t="n">
        <x:v>11</x:v>
      </x:c>
      <x:c r="H646" s="6" t="n">
        <x:v>115</x:v>
      </x:c>
      <x:c r="I646" s="6" t="n">
        <x:v>2484</x:v>
      </x:c>
      <x:c r="J646" s="11" t="n">
        <x:f>E646/D646</x:f>
        <x:v>0.7994891443167306</x:v>
      </x:c>
      <x:c r="K646" s="11" t="n">
        <x:f>F646/D646</x:f>
        <x:v>0.20051085568326948</x:v>
      </x:c>
      <x:c r="L646" s="13" t="n">
        <x:f>I646/D646</x:f>
        <x:v>3.1724137931034484</x:v>
      </x:c>
      <x:c r="M646" s="6" t="str">
        <x:v>Included</x:v>
      </x:c>
    </x:row>
    <x:row r="647" ht="23" customHeight="1">
      <x:c r="B647" s="12" t="str">
        <x:v>7788</x:v>
      </x:c>
      <x:c r="C647" s="6" t="str">
        <x:v>Queens Quay E / Lower Jarvis St</x:v>
      </x:c>
      <x:c r="D647" s="6" t="n">
        <x:v>792</x:v>
      </x:c>
      <x:c r="E647" s="6" t="n">
        <x:v>708</x:v>
      </x:c>
      <x:c r="F647" s="6" t="n">
        <x:v>84</x:v>
      </x:c>
      <x:c r="G647" s="6" t="n">
        <x:v>11</x:v>
      </x:c>
      <x:c r="H647" s="6" t="n">
        <x:v>115</x:v>
      </x:c>
      <x:c r="I647" s="6" t="n">
        <x:v>8280</x:v>
      </x:c>
      <x:c r="J647" s="11" t="n">
        <x:f>E647/D647</x:f>
        <x:v>0.8939393939393939</x:v>
      </x:c>
      <x:c r="K647" s="11" t="n">
        <x:f>F647/D647</x:f>
        <x:v>0.10606060606060606</x:v>
      </x:c>
      <x:c r="L647" s="13" t="n">
        <x:f>I647/D647</x:f>
        <x:v>10.454545454545455</x:v>
      </x:c>
      <x:c r="M647" s="6" t="str">
        <x:v>Included</x:v>
      </x:c>
    </x:row>
    <x:row r="648" ht="23" customHeight="1">
      <x:c r="B648" s="12" t="str">
        <x:v>7789</x:v>
      </x:c>
      <x:c r="C648" s="6" t="str">
        <x:v>75 Holly St</x:v>
      </x:c>
      <x:c r="D648" s="6" t="n">
        <x:v>793</x:v>
      </x:c>
      <x:c r="E648" s="6" t="n">
        <x:v>770</x:v>
      </x:c>
      <x:c r="F648" s="6" t="n">
        <x:v>23</x:v>
      </x:c>
      <x:c r="G648" s="6" t="n">
        <x:v>11</x:v>
      </x:c>
      <x:c r="H648" s="6" t="n">
        <x:v>115</x:v>
      </x:c>
      <x:c r="I648" s="6" t="n">
        <x:v>8738</x:v>
      </x:c>
      <x:c r="J648" s="11" t="n">
        <x:f>E648/D648</x:f>
        <x:v>0.9709962168978562</x:v>
      </x:c>
      <x:c r="K648" s="11" t="n">
        <x:f>F648/D648</x:f>
        <x:v>0.029003783102143757</x:v>
      </x:c>
      <x:c r="L648" s="13" t="n">
        <x:f>I648/D648</x:f>
        <x:v>11.01891551071879</x:v>
      </x:c>
      <x:c r="M648" s="6" t="str">
        <x:v>Included</x:v>
      </x:c>
    </x:row>
    <x:row r="649" ht="23" customHeight="1">
      <x:c r="B649" s="12" t="str">
        <x:v>7790</x:v>
      </x:c>
      <x:c r="C649" s="6" t="str">
        <x:v>Lynn Williams St / Pirandello St</x:v>
      </x:c>
      <x:c r="D649" s="6" t="n">
        <x:v>780</x:v>
      </x:c>
      <x:c r="E649" s="6" t="n">
        <x:v>533</x:v>
      </x:c>
      <x:c r="F649" s="6" t="n">
        <x:v>247</x:v>
      </x:c>
      <x:c r="G649" s="6" t="n">
        <x:v>11</x:v>
      </x:c>
      <x:c r="H649" s="6" t="n">
        <x:v>113</x:v>
      </x:c>
      <x:c r="I649" s="6" t="n">
        <x:v>6423</x:v>
      </x:c>
      <x:c r="J649" s="11" t="n">
        <x:f>E649/D649</x:f>
        <x:v>0.6833333333333333</x:v>
      </x:c>
      <x:c r="K649" s="11" t="n">
        <x:f>F649/D649</x:f>
        <x:v>0.31666666666666665</x:v>
      </x:c>
      <x:c r="L649" s="13" t="n">
        <x:f>I649/D649</x:f>
        <x:v>8.234615384615385</x:v>
      </x:c>
      <x:c r="M649" s="6" t="str">
        <x:v>Included</x:v>
      </x:c>
    </x:row>
    <x:row r="650" ht="23" customHeight="1">
      <x:c r="B650" s="12" t="str">
        <x:v>7791</x:v>
      </x:c>
      <x:c r="C650" s="6" t="str">
        <x:v>Ossington Ave / Bruce St</x:v>
      </x:c>
      <x:c r="D650" s="6" t="n">
        <x:v>784</x:v>
      </x:c>
      <x:c r="E650" s="6" t="n">
        <x:v>616</x:v>
      </x:c>
      <x:c r="F650" s="6" t="n">
        <x:v>168</x:v>
      </x:c>
      <x:c r="G650" s="6" t="n">
        <x:v>11</x:v>
      </x:c>
      <x:c r="H650" s="6" t="n">
        <x:v>116</x:v>
      </x:c>
      <x:c r="I650" s="6" t="n">
        <x:v>2063</x:v>
      </x:c>
      <x:c r="J650" s="11" t="n">
        <x:f>E650/D650</x:f>
        <x:v>0.7857142857142857</x:v>
      </x:c>
      <x:c r="K650" s="11" t="n">
        <x:f>F650/D650</x:f>
        <x:v>0.21428571428571427</x:v>
      </x:c>
      <x:c r="L650" s="13" t="n">
        <x:f>I650/D650</x:f>
        <x:v>2.631377551020408</x:v>
      </x:c>
      <x:c r="M650" s="6" t="str">
        <x:v>Included</x:v>
      </x:c>
    </x:row>
    <x:row r="651" ht="23" customHeight="1">
      <x:c r="B651" s="12" t="str">
        <x:v>7792</x:v>
      </x:c>
      <x:c r="C651" s="6" t="str">
        <x:v>Gladstone Ave / Queen St W</x:v>
      </x:c>
      <x:c r="D651" s="6" t="n">
        <x:v>795</x:v>
      </x:c>
      <x:c r="E651" s="6" t="n">
        <x:v>587</x:v>
      </x:c>
      <x:c r="F651" s="6" t="n">
        <x:v>208</x:v>
      </x:c>
      <x:c r="G651" s="6" t="n">
        <x:v>11</x:v>
      </x:c>
      <x:c r="H651" s="6" t="n">
        <x:v>114</x:v>
      </x:c>
      <x:c r="I651" s="6" t="n">
        <x:v>4355</x:v>
      </x:c>
      <x:c r="J651" s="11" t="n">
        <x:f>E651/D651</x:f>
        <x:v>0.7383647798742138</x:v>
      </x:c>
      <x:c r="K651" s="11" t="n">
        <x:f>F651/D651</x:f>
        <x:v>0.26163522012578616</x:v>
      </x:c>
      <x:c r="L651" s="13" t="n">
        <x:f>I651/D651</x:f>
        <x:v>5.477987421383648</x:v>
      </x:c>
      <x:c r="M651" s="6" t="str">
        <x:v>Included</x:v>
      </x:c>
    </x:row>
    <x:row r="652" ht="23" customHeight="1">
      <x:c r="B652" s="12" t="str">
        <x:v>7796</x:v>
      </x:c>
      <x:c r="C652" s="6" t="str">
        <x:v>Dundas St E / River St</x:v>
      </x:c>
      <x:c r="D652" s="6" t="n">
        <x:v>792</x:v>
      </x:c>
      <x:c r="E652" s="6" t="n">
        <x:v>648</x:v>
      </x:c>
      <x:c r="F652" s="6" t="n">
        <x:v>144</x:v>
      </x:c>
      <x:c r="G652" s="6" t="n">
        <x:v>11</x:v>
      </x:c>
      <x:c r="H652" s="6" t="n">
        <x:v>116</x:v>
      </x:c>
      <x:c r="I652" s="6" t="n">
        <x:v>7360</x:v>
      </x:c>
      <x:c r="J652" s="11" t="n">
        <x:f>E652/D652</x:f>
        <x:v>0.8181818181818182</x:v>
      </x:c>
      <x:c r="K652" s="11" t="n">
        <x:f>F652/D652</x:f>
        <x:v>0.18181818181818182</x:v>
      </x:c>
      <x:c r="L652" s="13" t="n">
        <x:f>I652/D652</x:f>
        <x:v>9.292929292929292</x:v>
      </x:c>
      <x:c r="M652" s="6" t="str">
        <x:v>Included</x:v>
      </x:c>
    </x:row>
    <x:row r="653" ht="23" customHeight="1">
      <x:c r="B653" s="12" t="str">
        <x:v>7798</x:v>
      </x:c>
      <x:c r="C653" s="6" t="str">
        <x:v>Shuter St/River St</x:v>
      </x:c>
      <x:c r="D653" s="6" t="n">
        <x:v>783</x:v>
      </x:c>
      <x:c r="E653" s="6" t="n">
        <x:v>633</x:v>
      </x:c>
      <x:c r="F653" s="6" t="n">
        <x:v>150</x:v>
      </x:c>
      <x:c r="G653" s="6" t="n">
        <x:v>11</x:v>
      </x:c>
      <x:c r="H653" s="6" t="n">
        <x:v>114</x:v>
      </x:c>
      <x:c r="I653" s="6" t="n">
        <x:v>5626</x:v>
      </x:c>
      <x:c r="J653" s="11" t="n">
        <x:f>E653/D653</x:f>
        <x:v>0.8084291187739464</x:v>
      </x:c>
      <x:c r="K653" s="11" t="n">
        <x:f>F653/D653</x:f>
        <x:v>0.19157088122605365</x:v>
      </x:c>
      <x:c r="L653" s="13" t="n">
        <x:f>I653/D653</x:f>
        <x:v>7.185185185185185</x:v>
      </x:c>
      <x:c r="M653" s="6" t="str">
        <x:v>Included</x:v>
      </x:c>
    </x:row>
    <x:row r="654" ht="23" customHeight="1">
      <x:c r="B654" s="12" t="str">
        <x:v>7799</x:v>
      </x:c>
      <x:c r="C654" s="6" t="str">
        <x:v>Danforth Ave / Danforth Rd</x:v>
      </x:c>
      <x:c r="D654" s="6" t="n">
        <x:v>787</x:v>
      </x:c>
      <x:c r="E654" s="6" t="n">
        <x:v>787</x:v>
      </x:c>
      <x:c r="F654" s="6" t="n">
        <x:v>0</x:v>
      </x:c>
      <x:c r="G654" s="6" t="n">
        <x:v>11</x:v>
      </x:c>
      <x:c r="H654" s="6" t="n">
        <x:v>114</x:v>
      </x:c>
      <x:c r="I654" s="6" t="n">
        <x:v>10078</x:v>
      </x:c>
      <x:c r="J654" s="11" t="n">
        <x:f>E654/D654</x:f>
        <x:v>1</x:v>
      </x:c>
      <x:c r="K654" s="11" t="n">
        <x:f>F654/D654</x:f>
        <x:v>0</x:v>
      </x:c>
      <x:c r="L654" s="13" t="n">
        <x:f>I654/D654</x:f>
        <x:v>12.80559085133418</x:v>
      </x:c>
      <x:c r="M654" s="6" t="str">
        <x:v>Included</x:v>
      </x:c>
    </x:row>
    <x:row r="655" ht="23" customHeight="1">
      <x:c r="B655" s="12" t="str">
        <x:v>7800</x:v>
      </x:c>
      <x:c r="C655" s="6" t="str">
        <x:v>Brimley Rd / McCowan District Park</x:v>
      </x:c>
      <x:c r="D655" s="6" t="n">
        <x:v>791</x:v>
      </x:c>
      <x:c r="E655" s="6" t="n">
        <x:v>791</x:v>
      </x:c>
      <x:c r="F655" s="6" t="n">
        <x:v>0</x:v>
      </x:c>
      <x:c r="G655" s="6" t="n">
        <x:v>11</x:v>
      </x:c>
      <x:c r="H655" s="6" t="n">
        <x:v>115</x:v>
      </x:c>
      <x:c r="I655" s="6" t="n">
        <x:v>12555</x:v>
      </x:c>
      <x:c r="J655" s="11" t="n">
        <x:f>E655/D655</x:f>
        <x:v>1</x:v>
      </x:c>
      <x:c r="K655" s="11" t="n">
        <x:f>F655/D655</x:f>
        <x:v>0</x:v>
      </x:c>
      <x:c r="L655" s="13" t="n">
        <x:f>I655/D655</x:f>
        <x:v>15.872313527180784</x:v>
      </x:c>
      <x:c r="M655" s="6" t="str">
        <x:v>Included</x:v>
      </x:c>
    </x:row>
    <x:row r="656" ht="23" customHeight="1">
      <x:c r="B656" s="12" t="str">
        <x:v>7801</x:v>
      </x:c>
      <x:c r="C656" s="6" t="str">
        <x:v>Parkcrest Dr / Kingston Rd</x:v>
      </x:c>
      <x:c r="D656" s="6" t="n">
        <x:v>778</x:v>
      </x:c>
      <x:c r="E656" s="6" t="n">
        <x:v>778</x:v>
      </x:c>
      <x:c r="F656" s="6" t="n">
        <x:v>0</x:v>
      </x:c>
      <x:c r="G656" s="6" t="n">
        <x:v>11</x:v>
      </x:c>
      <x:c r="H656" s="6" t="n">
        <x:v>115</x:v>
      </x:c>
      <x:c r="I656" s="6" t="n">
        <x:v>10332</x:v>
      </x:c>
      <x:c r="J656" s="11" t="n">
        <x:f>E656/D656</x:f>
        <x:v>1</x:v>
      </x:c>
      <x:c r="K656" s="11" t="n">
        <x:f>F656/D656</x:f>
        <x:v>0</x:v>
      </x:c>
      <x:c r="L656" s="13" t="n">
        <x:f>I656/D656</x:f>
        <x:v>13.280205655526993</x:v>
      </x:c>
      <x:c r="M656" s="6" t="str">
        <x:v>Included</x:v>
      </x:c>
    </x:row>
    <x:row r="657" ht="23" customHeight="1">
      <x:c r="B657" s="12" t="str">
        <x:v>7802</x:v>
      </x:c>
      <x:c r="C657" s="6" t="str">
        <x:v>King St W / Jameson Ave - SMART</x:v>
      </x:c>
      <x:c r="D657" s="6" t="n">
        <x:v>791</x:v>
      </x:c>
      <x:c r="E657" s="6" t="n">
        <x:v>657</x:v>
      </x:c>
      <x:c r="F657" s="6" t="n">
        <x:v>134</x:v>
      </x:c>
      <x:c r="G657" s="6" t="n">
        <x:v>11</x:v>
      </x:c>
      <x:c r="H657" s="6" t="n">
        <x:v>115</x:v>
      </x:c>
      <x:c r="I657" s="6" t="n">
        <x:v>3672</x:v>
      </x:c>
      <x:c r="J657" s="11" t="n">
        <x:f>E657/D657</x:f>
        <x:v>0.8305941845764855</x:v>
      </x:c>
      <x:c r="K657" s="11" t="n">
        <x:f>F657/D657</x:f>
        <x:v>0.16940581542351454</x:v>
      </x:c>
      <x:c r="L657" s="13" t="n">
        <x:f>I657/D657</x:f>
        <x:v>4.642225031605562</x:v>
      </x:c>
      <x:c r="M657" s="6" t="str">
        <x:v>Included</x:v>
      </x:c>
    </x:row>
    <x:row r="658" ht="23" customHeight="1">
      <x:c r="B658" s="12" t="str">
        <x:v>7803</x:v>
      </x:c>
      <x:c r="C658" s="6" t="str">
        <x:v>Scarborough Soccer Centre</x:v>
      </x:c>
      <x:c r="D658" s="6" t="n">
        <x:v>793</x:v>
      </x:c>
      <x:c r="E658" s="6" t="n">
        <x:v>793</x:v>
      </x:c>
      <x:c r="F658" s="6" t="n">
        <x:v>0</x:v>
      </x:c>
      <x:c r="G658" s="6" t="n">
        <x:v>11</x:v>
      </x:c>
      <x:c r="H658" s="6" t="n">
        <x:v>116</x:v>
      </x:c>
      <x:c r="I658" s="6" t="n">
        <x:v>12992</x:v>
      </x:c>
      <x:c r="J658" s="11" t="n">
        <x:f>E658/D658</x:f>
        <x:v>1</x:v>
      </x:c>
      <x:c r="K658" s="11" t="n">
        <x:f>F658/D658</x:f>
        <x:v>0</x:v>
      </x:c>
      <x:c r="L658" s="13" t="n">
        <x:f>I658/D658</x:f>
        <x:v>16.383354350567465</x:v>
      </x:c>
      <x:c r="M658" s="6" t="str">
        <x:v>Included</x:v>
      </x:c>
    </x:row>
    <x:row r="659" ht="23" customHeight="1">
      <x:c r="B659" s="12" t="str">
        <x:v>7804</x:v>
      </x:c>
      <x:c r="C659" s="6" t="str">
        <x:v>Lansdowne Ave / Seaforth Ave</x:v>
      </x:c>
      <x:c r="D659" s="6" t="n">
        <x:v>787</x:v>
      </x:c>
      <x:c r="E659" s="6" t="n">
        <x:v>661</x:v>
      </x:c>
      <x:c r="F659" s="6" t="n">
        <x:v>126</x:v>
      </x:c>
      <x:c r="G659" s="6" t="n">
        <x:v>11</x:v>
      </x:c>
      <x:c r="H659" s="6" t="n">
        <x:v>115</x:v>
      </x:c>
      <x:c r="I659" s="6" t="n">
        <x:v>4828</x:v>
      </x:c>
      <x:c r="J659" s="11" t="n">
        <x:f>E659/D659</x:f>
        <x:v>0.8398983481575604</x:v>
      </x:c>
      <x:c r="K659" s="11" t="n">
        <x:f>F659/D659</x:f>
        <x:v>0.16010165184243966</x:v>
      </x:c>
      <x:c r="L659" s="13" t="n">
        <x:f>I659/D659</x:f>
        <x:v>6.134688691232529</x:v>
      </x:c>
      <x:c r="M659" s="6" t="str">
        <x:v>Included</x:v>
      </x:c>
    </x:row>
    <x:row r="660" ht="23" customHeight="1">
      <x:c r="B660" s="12" t="str">
        <x:v>7805</x:v>
      </x:c>
      <x:c r="C660" s="6" t="str">
        <x:v>Pharmacy Ave / Teesdale Pl</x:v>
      </x:c>
      <x:c r="D660" s="6" t="n">
        <x:v>788</x:v>
      </x:c>
      <x:c r="E660" s="6" t="n">
        <x:v>788</x:v>
      </x:c>
      <x:c r="F660" s="6" t="n">
        <x:v>0</x:v>
      </x:c>
      <x:c r="G660" s="6" t="n">
        <x:v>11</x:v>
      </x:c>
      <x:c r="H660" s="6" t="n">
        <x:v>114</x:v>
      </x:c>
      <x:c r="I660" s="6" t="n">
        <x:v>8834</x:v>
      </x:c>
      <x:c r="J660" s="11" t="n">
        <x:f>E660/D660</x:f>
        <x:v>1</x:v>
      </x:c>
      <x:c r="K660" s="11" t="n">
        <x:f>F660/D660</x:f>
        <x:v>0</x:v>
      </x:c>
      <x:c r="L660" s="13" t="n">
        <x:f>I660/D660</x:f>
        <x:v>11.210659898477157</x:v>
      </x:c>
      <x:c r="M660" s="6" t="str">
        <x:v>Included</x:v>
      </x:c>
    </x:row>
    <x:row r="661" ht="23" customHeight="1">
      <x:c r="B661" s="12" t="str">
        <x:v>7806</x:v>
      </x:c>
      <x:c r="C661" s="6" t="str">
        <x:v>Danforth Rd / Birchmount Rd</x:v>
      </x:c>
      <x:c r="D661" s="6" t="n">
        <x:v>781</x:v>
      </x:c>
      <x:c r="E661" s="6" t="n">
        <x:v>781</x:v>
      </x:c>
      <x:c r="F661" s="6" t="n">
        <x:v>0</x:v>
      </x:c>
      <x:c r="G661" s="6" t="n">
        <x:v>11</x:v>
      </x:c>
      <x:c r="H661" s="6" t="n">
        <x:v>114</x:v>
      </x:c>
      <x:c r="I661" s="6" t="n">
        <x:v>10532</x:v>
      </x:c>
      <x:c r="J661" s="11" t="n">
        <x:f>E661/D661</x:f>
        <x:v>1</x:v>
      </x:c>
      <x:c r="K661" s="11" t="n">
        <x:f>F661/D661</x:f>
        <x:v>0</x:v>
      </x:c>
      <x:c r="L661" s="13" t="n">
        <x:f>I661/D661</x:f>
        <x:v>13.48527528809219</x:v>
      </x:c>
      <x:c r="M661" s="6" t="str">
        <x:v>Included</x:v>
      </x:c>
    </x:row>
    <x:row r="662" ht="23" customHeight="1">
      <x:c r="B662" s="12" t="str">
        <x:v>7807</x:v>
      </x:c>
      <x:c r="C662" s="6" t="str">
        <x:v>552 Birchmount Rd</x:v>
      </x:c>
      <x:c r="D662" s="6" t="n">
        <x:v>790</x:v>
      </x:c>
      <x:c r="E662" s="6" t="n">
        <x:v>790</x:v>
      </x:c>
      <x:c r="F662" s="6" t="n">
        <x:v>0</x:v>
      </x:c>
      <x:c r="G662" s="6" t="n">
        <x:v>11</x:v>
      </x:c>
      <x:c r="H662" s="6" t="n">
        <x:v>115</x:v>
      </x:c>
      <x:c r="I662" s="6" t="n">
        <x:v>10133</x:v>
      </x:c>
      <x:c r="J662" s="11" t="n">
        <x:f>E662/D662</x:f>
        <x:v>1</x:v>
      </x:c>
      <x:c r="K662" s="11" t="n">
        <x:f>F662/D662</x:f>
        <x:v>0</x:v>
      </x:c>
      <x:c r="L662" s="13" t="n">
        <x:f>I662/D662</x:f>
        <x:v>12.826582278481013</x:v>
      </x:c>
      <x:c r="M662" s="6" t="str">
        <x:v>Included</x:v>
      </x:c>
    </x:row>
    <x:row r="663" ht="23" customHeight="1">
      <x:c r="B663" s="12" t="str">
        <x:v>7808</x:v>
      </x:c>
      <x:c r="C663" s="6" t="str">
        <x:v>Eastgate Cres / Pharmacy Ave</x:v>
      </x:c>
      <x:c r="D663" s="6" t="n">
        <x:v>784</x:v>
      </x:c>
      <x:c r="E663" s="6" t="n">
        <x:v>784</x:v>
      </x:c>
      <x:c r="F663" s="6" t="n">
        <x:v>0</x:v>
      </x:c>
      <x:c r="G663" s="6" t="n">
        <x:v>11</x:v>
      </x:c>
      <x:c r="H663" s="6" t="n">
        <x:v>114</x:v>
      </x:c>
      <x:c r="I663" s="6" t="n">
        <x:v>10739</x:v>
      </x:c>
      <x:c r="J663" s="11" t="n">
        <x:f>E663/D663</x:f>
        <x:v>1</x:v>
      </x:c>
      <x:c r="K663" s="11" t="n">
        <x:f>F663/D663</x:f>
        <x:v>0</x:v>
      </x:c>
      <x:c r="L663" s="13" t="n">
        <x:f>I663/D663</x:f>
        <x:v>13.697704081632653</x:v>
      </x:c>
      <x:c r="M663" s="6" t="str">
        <x:v>Included</x:v>
      </x:c>
    </x:row>
    <x:row r="664" ht="23" customHeight="1">
      <x:c r="B664" s="12" t="str">
        <x:v>7809</x:v>
      </x:c>
      <x:c r="C664" s="6" t="str">
        <x:v>Firvalley Ct / Warden Ave</x:v>
      </x:c>
      <x:c r="D664" s="6" t="n">
        <x:v>778</x:v>
      </x:c>
      <x:c r="E664" s="6" t="n">
        <x:v>778</x:v>
      </x:c>
      <x:c r="F664" s="6" t="n">
        <x:v>0</x:v>
      </x:c>
      <x:c r="G664" s="6" t="n">
        <x:v>11</x:v>
      </x:c>
      <x:c r="H664" s="6" t="n">
        <x:v>115</x:v>
      </x:c>
      <x:c r="I664" s="6" t="n">
        <x:v>13571</x:v>
      </x:c>
      <x:c r="J664" s="11" t="n">
        <x:f>E664/D664</x:f>
        <x:v>1</x:v>
      </x:c>
      <x:c r="K664" s="11" t="n">
        <x:f>F664/D664</x:f>
        <x:v>0</x:v>
      </x:c>
      <x:c r="L664" s="13" t="n">
        <x:f>I664/D664</x:f>
        <x:v>17.443444730077122</x:v>
      </x:c>
      <x:c r="M664" s="6" t="str">
        <x:v>Included</x:v>
      </x:c>
    </x:row>
    <x:row r="665" ht="23" customHeight="1">
      <x:c r="B665" s="12" t="str">
        <x:v>7810</x:v>
      </x:c>
      <x:c r="C665" s="6" t="str">
        <x:v>Avenue Rd / Cumberland St</x:v>
      </x:c>
      <x:c r="D665" s="6" t="n">
        <x:v>783</x:v>
      </x:c>
      <x:c r="E665" s="6" t="n">
        <x:v>783</x:v>
      </x:c>
      <x:c r="F665" s="6" t="n">
        <x:v>0</x:v>
      </x:c>
      <x:c r="G665" s="6" t="n">
        <x:v>11</x:v>
      </x:c>
      <x:c r="H665" s="6" t="n">
        <x:v>114</x:v>
      </x:c>
      <x:c r="I665" s="6" t="n">
        <x:v>8101</x:v>
      </x:c>
      <x:c r="J665" s="11" t="n">
        <x:f>E665/D665</x:f>
        <x:v>1</x:v>
      </x:c>
      <x:c r="K665" s="11" t="n">
        <x:f>F665/D665</x:f>
        <x:v>0</x:v>
      </x:c>
      <x:c r="L665" s="13" t="n">
        <x:f>I665/D665</x:f>
        <x:v>10.34610472541507</x:v>
      </x:c>
      <x:c r="M665" s="6" t="str">
        <x:v>Included</x:v>
      </x:c>
    </x:row>
    <x:row r="666" ht="23" customHeight="1">
      <x:c r="B666" s="12" t="str">
        <x:v>7811</x:v>
      </x:c>
      <x:c r="C666" s="6" t="str">
        <x:v>Midland Ave / Kingston Rd</x:v>
      </x:c>
      <x:c r="D666" s="6" t="n">
        <x:v>790</x:v>
      </x:c>
      <x:c r="E666" s="6" t="n">
        <x:v>790</x:v>
      </x:c>
      <x:c r="F666" s="6" t="n">
        <x:v>0</x:v>
      </x:c>
      <x:c r="G666" s="6" t="n">
        <x:v>11</x:v>
      </x:c>
      <x:c r="H666" s="6" t="n">
        <x:v>114</x:v>
      </x:c>
      <x:c r="I666" s="6" t="n">
        <x:v>4490</x:v>
      </x:c>
      <x:c r="J666" s="11" t="n">
        <x:f>E666/D666</x:f>
        <x:v>1</x:v>
      </x:c>
      <x:c r="K666" s="11" t="n">
        <x:f>F666/D666</x:f>
        <x:v>0</x:v>
      </x:c>
      <x:c r="L666" s="13" t="n">
        <x:f>I666/D666</x:f>
        <x:v>5.6835443037974684</x:v>
      </x:c>
      <x:c r="M666" s="6" t="str">
        <x:v>Included</x:v>
      </x:c>
    </x:row>
    <x:row r="667" ht="23" customHeight="1">
      <x:c r="B667" s="12" t="str">
        <x:v>7812</x:v>
      </x:c>
      <x:c r="C667" s="6" t="str">
        <x:v>Bellamy Rd S / Kingston Rd</x:v>
      </x:c>
      <x:c r="D667" s="6" t="n">
        <x:v>779</x:v>
      </x:c>
      <x:c r="E667" s="6" t="n">
        <x:v>779</x:v>
      </x:c>
      <x:c r="F667" s="6" t="n">
        <x:v>0</x:v>
      </x:c>
      <x:c r="G667" s="6" t="n">
        <x:v>11</x:v>
      </x:c>
      <x:c r="H667" s="6" t="n">
        <x:v>115</x:v>
      </x:c>
      <x:c r="I667" s="6" t="n">
        <x:v>9910</x:v>
      </x:c>
      <x:c r="J667" s="11" t="n">
        <x:f>E667/D667</x:f>
        <x:v>1</x:v>
      </x:c>
      <x:c r="K667" s="11" t="n">
        <x:f>F667/D667</x:f>
        <x:v>0</x:v>
      </x:c>
      <x:c r="L667" s="13" t="n">
        <x:f>I667/D667</x:f>
        <x:v>12.721437740693196</x:v>
      </x:c>
      <x:c r="M667" s="6" t="str">
        <x:v>Included</x:v>
      </x:c>
    </x:row>
    <x:row r="668" ht="23" customHeight="1">
      <x:c r="B668" s="12" t="str">
        <x:v>7813</x:v>
      </x:c>
      <x:c r="C668" s="6" t="str">
        <x:v>Yonge St / Merton St</x:v>
      </x:c>
      <x:c r="D668" s="6" t="n">
        <x:v>791</x:v>
      </x:c>
      <x:c r="E668" s="6" t="n">
        <x:v>791</x:v>
      </x:c>
      <x:c r="F668" s="6" t="n">
        <x:v>0</x:v>
      </x:c>
      <x:c r="G668" s="6" t="n">
        <x:v>11</x:v>
      </x:c>
      <x:c r="H668" s="6" t="n">
        <x:v>115</x:v>
      </x:c>
      <x:c r="I668" s="6" t="n">
        <x:v>15767</x:v>
      </x:c>
      <x:c r="J668" s="11" t="n">
        <x:f>E668/D668</x:f>
        <x:v>1</x:v>
      </x:c>
      <x:c r="K668" s="11" t="n">
        <x:f>F668/D668</x:f>
        <x:v>0</x:v>
      </x:c>
      <x:c r="L668" s="13" t="n">
        <x:f>I668/D668</x:f>
        <x:v>19.93299620733249</x:v>
      </x:c>
      <x:c r="M668" s="6" t="str">
        <x:v>Included</x:v>
      </x:c>
    </x:row>
    <x:row r="669" ht="23" customHeight="1">
      <x:c r="B669" s="12" t="str">
        <x:v>7814</x:v>
      </x:c>
      <x:c r="C669" s="6" t="str">
        <x:v>Fenwood Ht / Kingston Rd</x:v>
      </x:c>
      <x:c r="D669" s="6" t="n">
        <x:v>787</x:v>
      </x:c>
      <x:c r="E669" s="6" t="n">
        <x:v>787</x:v>
      </x:c>
      <x:c r="F669" s="6" t="n">
        <x:v>0</x:v>
      </x:c>
      <x:c r="G669" s="6" t="n">
        <x:v>11</x:v>
      </x:c>
      <x:c r="H669" s="6" t="n">
        <x:v>114</x:v>
      </x:c>
      <x:c r="I669" s="6" t="n">
        <x:v>6405</x:v>
      </x:c>
      <x:c r="J669" s="11" t="n">
        <x:f>E669/D669</x:f>
        <x:v>1</x:v>
      </x:c>
      <x:c r="K669" s="11" t="n">
        <x:f>F669/D669</x:f>
        <x:v>0</x:v>
      </x:c>
      <x:c r="L669" s="13" t="n">
        <x:f>I669/D669</x:f>
        <x:v>8.138500635324016</x:v>
      </x:c>
      <x:c r="M669" s="6" t="str">
        <x:v>Included</x:v>
      </x:c>
    </x:row>
    <x:row r="670" ht="23" customHeight="1">
      <x:c r="B670" s="12" t="str">
        <x:v>7815</x:v>
      </x:c>
      <x:c r="C670" s="6" t="str">
        <x:v>Avenue Rd / Macpherson Ave</x:v>
      </x:c>
      <x:c r="D670" s="6" t="n">
        <x:v>793</x:v>
      </x:c>
      <x:c r="E670" s="6" t="n">
        <x:v>793</x:v>
      </x:c>
      <x:c r="F670" s="6" t="n">
        <x:v>0</x:v>
      </x:c>
      <x:c r="G670" s="6" t="n">
        <x:v>11</x:v>
      </x:c>
      <x:c r="H670" s="6" t="n">
        <x:v>115</x:v>
      </x:c>
      <x:c r="I670" s="6" t="n">
        <x:v>8610</x:v>
      </x:c>
      <x:c r="J670" s="11" t="n">
        <x:f>E670/D670</x:f>
        <x:v>1</x:v>
      </x:c>
      <x:c r="K670" s="11" t="n">
        <x:f>F670/D670</x:f>
        <x:v>0</x:v>
      </x:c>
      <x:c r="L670" s="13" t="n">
        <x:f>I670/D670</x:f>
        <x:v>10.857503152585119</x:v>
      </x:c>
      <x:c r="M670" s="6" t="str">
        <x:v>Included</x:v>
      </x:c>
    </x:row>
    <x:row r="671" ht="23" customHeight="1">
      <x:c r="B671" s="12" t="str">
        <x:v>7816</x:v>
      </x:c>
      <x:c r="C671" s="6" t="str">
        <x:v>Bay St / Dundas St W</x:v>
      </x:c>
      <x:c r="D671" s="6" t="n">
        <x:v>782</x:v>
      </x:c>
      <x:c r="E671" s="6" t="n">
        <x:v>754</x:v>
      </x:c>
      <x:c r="F671" s="6" t="n">
        <x:v>28</x:v>
      </x:c>
      <x:c r="G671" s="6" t="n">
        <x:v>11</x:v>
      </x:c>
      <x:c r="H671" s="6" t="n">
        <x:v>114</x:v>
      </x:c>
      <x:c r="I671" s="6" t="n">
        <x:v>30416</x:v>
      </x:c>
      <x:c r="J671" s="11" t="n">
        <x:f>E671/D671</x:f>
        <x:v>0.9641943734015346</x:v>
      </x:c>
      <x:c r="K671" s="11" t="n">
        <x:f>F671/D671</x:f>
        <x:v>0.03580562659846547</x:v>
      </x:c>
      <x:c r="L671" s="13" t="n">
        <x:f>I671/D671</x:f>
        <x:v>38.89514066496164</x:v>
      </x:c>
      <x:c r="M671" s="6" t="str">
        <x:v>Included</x:v>
      </x:c>
    </x:row>
    <x:row r="672" ht="23" customHeight="1">
      <x:c r="B672" s="12" t="str">
        <x:v>7817</x:v>
      </x:c>
      <x:c r="C672" s="6" t="str">
        <x:v>Shaw St / King St W</x:v>
      </x:c>
      <x:c r="D672" s="6" t="n">
        <x:v>784</x:v>
      </x:c>
      <x:c r="E672" s="6" t="n">
        <x:v>753</x:v>
      </x:c>
      <x:c r="F672" s="6" t="n">
        <x:v>31</x:v>
      </x:c>
      <x:c r="G672" s="6" t="n">
        <x:v>11</x:v>
      </x:c>
      <x:c r="H672" s="6" t="n">
        <x:v>115</x:v>
      </x:c>
      <x:c r="I672" s="6" t="n">
        <x:v>4444</x:v>
      </x:c>
      <x:c r="J672" s="11" t="n">
        <x:f>E672/D672</x:f>
        <x:v>0.9604591836734694</x:v>
      </x:c>
      <x:c r="K672" s="11" t="n">
        <x:f>F672/D672</x:f>
        <x:v>0.039540816326530615</x:v>
      </x:c>
      <x:c r="L672" s="13" t="n">
        <x:f>I672/D672</x:f>
        <x:v>5.668367346938775</x:v>
      </x:c>
      <x:c r="M672" s="6" t="str">
        <x:v>Included</x:v>
      </x:c>
    </x:row>
    <x:row r="673" ht="23" customHeight="1">
      <x:c r="B673" s="12" t="str">
        <x:v>7818</x:v>
      </x:c>
      <x:c r="C673" s="6" t="str">
        <x:v>Soudan Ave / Yonge St</x:v>
      </x:c>
      <x:c r="D673" s="6" t="n">
        <x:v>785</x:v>
      </x:c>
      <x:c r="E673" s="6" t="n">
        <x:v>785</x:v>
      </x:c>
      <x:c r="F673" s="6" t="n">
        <x:v>0</x:v>
      </x:c>
      <x:c r="G673" s="6" t="n">
        <x:v>11</x:v>
      </x:c>
      <x:c r="H673" s="6" t="n">
        <x:v>115</x:v>
      </x:c>
      <x:c r="I673" s="6" t="n">
        <x:v>10081</x:v>
      </x:c>
      <x:c r="J673" s="11" t="n">
        <x:f>E673/D673</x:f>
        <x:v>1</x:v>
      </x:c>
      <x:c r="K673" s="11" t="n">
        <x:f>F673/D673</x:f>
        <x:v>0</x:v>
      </x:c>
      <x:c r="L673" s="13" t="n">
        <x:f>I673/D673</x:f>
        <x:v>12.842038216560509</x:v>
      </x:c>
      <x:c r="M673" s="6" t="str">
        <x:v>Included</x:v>
      </x:c>
    </x:row>
    <x:row r="674" ht="23" customHeight="1">
      <x:c r="B674" s="12" t="str">
        <x:v>7819</x:v>
      </x:c>
      <x:c r="C674" s="6" t="str">
        <x:v>Avenue Rd / Oxton Ave</x:v>
      </x:c>
      <x:c r="D674" s="6" t="n">
        <x:v>783</x:v>
      </x:c>
      <x:c r="E674" s="6" t="n">
        <x:v>783</x:v>
      </x:c>
      <x:c r="F674" s="6" t="n">
        <x:v>0</x:v>
      </x:c>
      <x:c r="G674" s="6" t="n">
        <x:v>11</x:v>
      </x:c>
      <x:c r="H674" s="6" t="n">
        <x:v>115</x:v>
      </x:c>
      <x:c r="I674" s="6" t="n">
        <x:v>9206</x:v>
      </x:c>
      <x:c r="J674" s="11" t="n">
        <x:f>E674/D674</x:f>
        <x:v>1</x:v>
      </x:c>
      <x:c r="K674" s="11" t="n">
        <x:f>F674/D674</x:f>
        <x:v>0</x:v>
      </x:c>
      <x:c r="L674" s="13" t="n">
        <x:f>I674/D674</x:f>
        <x:v>11.757343550446999</x:v>
      </x:c>
      <x:c r="M674" s="6" t="str">
        <x:v>Included</x:v>
      </x:c>
    </x:row>
    <x:row r="675" ht="23" customHeight="1">
      <x:c r="B675" s="12" t="str">
        <x:v>7820</x:v>
      </x:c>
      <x:c r="C675" s="6" t="str">
        <x:v>1612 Danforth Ave</x:v>
      </x:c>
      <x:c r="D675" s="6" t="n">
        <x:v>792</x:v>
      </x:c>
      <x:c r="E675" s="6" t="n">
        <x:v>745</x:v>
      </x:c>
      <x:c r="F675" s="6" t="n">
        <x:v>47</x:v>
      </x:c>
      <x:c r="G675" s="6" t="n">
        <x:v>11</x:v>
      </x:c>
      <x:c r="H675" s="6" t="n">
        <x:v>114</x:v>
      </x:c>
      <x:c r="I675" s="6" t="n">
        <x:v>8997</x:v>
      </x:c>
      <x:c r="J675" s="11" t="n">
        <x:f>E675/D675</x:f>
        <x:v>0.9406565656565656</x:v>
      </x:c>
      <x:c r="K675" s="11" t="n">
        <x:f>F675/D675</x:f>
        <x:v>0.059343434343434344</x:v>
      </x:c>
      <x:c r="L675" s="13" t="n">
        <x:f>I675/D675</x:f>
        <x:v>11.359848484848484</x:v>
      </x:c>
      <x:c r="M675" s="6" t="str">
        <x:v>Included</x:v>
      </x:c>
    </x:row>
    <x:row r="676" ht="23" customHeight="1">
      <x:c r="B676" s="12" t="str">
        <x:v>7821</x:v>
      </x:c>
      <x:c r="C676" s="6" t="str">
        <x:v>Lisgar St / Queen St W - SMART</x:v>
      </x:c>
      <x:c r="D676" s="6" t="n">
        <x:v>789</x:v>
      </x:c>
      <x:c r="E676" s="6" t="n">
        <x:v>605</x:v>
      </x:c>
      <x:c r="F676" s="6" t="n">
        <x:v>184</x:v>
      </x:c>
      <x:c r="G676" s="6" t="n">
        <x:v>11</x:v>
      </x:c>
      <x:c r="H676" s="6" t="n">
        <x:v>114</x:v>
      </x:c>
      <x:c r="I676" s="6" t="n">
        <x:v>5560</x:v>
      </x:c>
      <x:c r="J676" s="11" t="n">
        <x:f>E676/D676</x:f>
        <x:v>0.7667934093789607</x:v>
      </x:c>
      <x:c r="K676" s="11" t="n">
        <x:f>F676/D676</x:f>
        <x:v>0.2332065906210393</x:v>
      </x:c>
      <x:c r="L676" s="13" t="n">
        <x:f>I676/D676</x:f>
        <x:v>7.046894803548796</x:v>
      </x:c>
      <x:c r="M676" s="6" t="str">
        <x:v>Included</x:v>
      </x:c>
    </x:row>
    <x:row r="677" ht="23" customHeight="1">
      <x:c r="B677" s="12" t="str">
        <x:v>7822</x:v>
      </x:c>
      <x:c r="C677" s="6" t="str">
        <x:v>Leslie St / Commissioners St</x:v>
      </x:c>
      <x:c r="D677" s="6" t="n">
        <x:v>793</x:v>
      </x:c>
      <x:c r="E677" s="6" t="n">
        <x:v>643</x:v>
      </x:c>
      <x:c r="F677" s="6" t="n">
        <x:v>150</x:v>
      </x:c>
      <x:c r="G677" s="6" t="n">
        <x:v>11</x:v>
      </x:c>
      <x:c r="H677" s="6" t="n">
        <x:v>116</x:v>
      </x:c>
      <x:c r="I677" s="6" t="n">
        <x:v>2210</x:v>
      </x:c>
      <x:c r="J677" s="11" t="n">
        <x:f>E677/D677</x:f>
        <x:v>0.8108448928121059</x:v>
      </x:c>
      <x:c r="K677" s="11" t="n">
        <x:f>F677/D677</x:f>
        <x:v>0.18915510718789408</x:v>
      </x:c>
      <x:c r="L677" s="13" t="n">
        <x:f>I677/D677</x:f>
        <x:v>2.7868852459016393</x:v>
      </x:c>
      <x:c r="M677" s="6" t="str">
        <x:v>Included</x:v>
      </x:c>
    </x:row>
    <x:row r="678" ht="23" customHeight="1">
      <x:c r="B678" s="12" t="str">
        <x:v>7823</x:v>
      </x:c>
      <x:c r="C678" s="6" t="str">
        <x:v>Greenwood Ave / Sammon Ave</x:v>
      </x:c>
      <x:c r="D678" s="6" t="n">
        <x:v>794</x:v>
      </x:c>
      <x:c r="E678" s="6" t="n">
        <x:v>794</x:v>
      </x:c>
      <x:c r="F678" s="6" t="n">
        <x:v>0</x:v>
      </x:c>
      <x:c r="G678" s="6" t="n">
        <x:v>11</x:v>
      </x:c>
      <x:c r="H678" s="6" t="n">
        <x:v>115</x:v>
      </x:c>
      <x:c r="I678" s="6" t="n">
        <x:v>6696</x:v>
      </x:c>
      <x:c r="J678" s="11" t="n">
        <x:f>E678/D678</x:f>
        <x:v>1</x:v>
      </x:c>
      <x:c r="K678" s="11" t="n">
        <x:f>F678/D678</x:f>
        <x:v>0</x:v>
      </x:c>
      <x:c r="L678" s="13" t="n">
        <x:f>I678/D678</x:f>
        <x:v>8.433249370277078</x:v>
      </x:c>
      <x:c r="M678" s="6" t="str">
        <x:v>Included</x:v>
      </x:c>
    </x:row>
    <x:row r="679" ht="23" customHeight="1">
      <x:c r="B679" s="12" t="str">
        <x:v>7824</x:v>
      </x:c>
      <x:c r="C679" s="6" t="str">
        <x:v>Warden Subway Station</x:v>
      </x:c>
      <x:c r="D679" s="6" t="n">
        <x:v>787</x:v>
      </x:c>
      <x:c r="E679" s="6" t="n">
        <x:v>787</x:v>
      </x:c>
      <x:c r="F679" s="6" t="n">
        <x:v>0</x:v>
      </x:c>
      <x:c r="G679" s="6" t="n">
        <x:v>11</x:v>
      </x:c>
      <x:c r="H679" s="6" t="n">
        <x:v>116</x:v>
      </x:c>
      <x:c r="I679" s="6" t="n">
        <x:v>13657</x:v>
      </x:c>
      <x:c r="J679" s="11" t="n">
        <x:f>E679/D679</x:f>
        <x:v>1</x:v>
      </x:c>
      <x:c r="K679" s="11" t="n">
        <x:f>F679/D679</x:f>
        <x:v>0</x:v>
      </x:c>
      <x:c r="L679" s="13" t="n">
        <x:f>I679/D679</x:f>
        <x:v>17.353240152477763</x:v>
      </x:c>
      <x:c r="M679" s="6" t="str">
        <x:v>Included</x:v>
      </x:c>
    </x:row>
    <x:row r="680" ht="23" customHeight="1">
      <x:c r="B680" s="12" t="str">
        <x:v>7825</x:v>
      </x:c>
      <x:c r="C680" s="6" t="str">
        <x:v>Kingston Rd / Scarborough Golf Club Rd</x:v>
      </x:c>
      <x:c r="D680" s="6" t="n">
        <x:v>783</x:v>
      </x:c>
      <x:c r="E680" s="6" t="n">
        <x:v>783</x:v>
      </x:c>
      <x:c r="F680" s="6" t="n">
        <x:v>0</x:v>
      </x:c>
      <x:c r="G680" s="6" t="n">
        <x:v>11</x:v>
      </x:c>
      <x:c r="H680" s="6" t="n">
        <x:v>115</x:v>
      </x:c>
      <x:c r="I680" s="6" t="n">
        <x:v>9087</x:v>
      </x:c>
      <x:c r="J680" s="11" t="n">
        <x:f>E680/D680</x:f>
        <x:v>1</x:v>
      </x:c>
      <x:c r="K680" s="11" t="n">
        <x:f>F680/D680</x:f>
        <x:v>0</x:v>
      </x:c>
      <x:c r="L680" s="13" t="n">
        <x:f>I680/D680</x:f>
        <x:v>11.60536398467433</x:v>
      </x:c>
      <x:c r="M680" s="6" t="str">
        <x:v>Included</x:v>
      </x:c>
    </x:row>
    <x:row r="681" ht="23" customHeight="1">
      <x:c r="B681" s="12" t="str">
        <x:v>7826</x:v>
      </x:c>
      <x:c r="C681" s="6" t="str">
        <x:v>Greenwood Ave / Gerrard St E</x:v>
      </x:c>
      <x:c r="D681" s="6" t="n">
        <x:v>783</x:v>
      </x:c>
      <x:c r="E681" s="6" t="n">
        <x:v>529</x:v>
      </x:c>
      <x:c r="F681" s="6" t="n">
        <x:v>254</x:v>
      </x:c>
      <x:c r="G681" s="6" t="n">
        <x:v>11</x:v>
      </x:c>
      <x:c r="H681" s="6" t="n">
        <x:v>114</x:v>
      </x:c>
      <x:c r="I681" s="6" t="n">
        <x:v>3132</x:v>
      </x:c>
      <x:c r="J681" s="11" t="n">
        <x:f>E681/D681</x:f>
        <x:v>0.6756066411238825</x:v>
      </x:c>
      <x:c r="K681" s="11" t="n">
        <x:f>F681/D681</x:f>
        <x:v>0.3243933588761175</x:v>
      </x:c>
      <x:c r="L681" s="13" t="n">
        <x:f>I681/D681</x:f>
        <x:v>4</x:v>
      </x:c>
      <x:c r="M681" s="6" t="str">
        <x:v>Included</x:v>
      </x:c>
    </x:row>
    <x:row r="682" ht="23" customHeight="1">
      <x:c r="B682" s="12" t="str">
        <x:v>7827</x:v>
      </x:c>
      <x:c r="C682" s="6" t="str">
        <x:v>Chatham Ave / Byron Ave</x:v>
      </x:c>
      <x:c r="D682" s="6" t="n">
        <x:v>789</x:v>
      </x:c>
      <x:c r="E682" s="6" t="n">
        <x:v>789</x:v>
      </x:c>
      <x:c r="F682" s="6" t="n">
        <x:v>0</x:v>
      </x:c>
      <x:c r="G682" s="6" t="n">
        <x:v>11</x:v>
      </x:c>
      <x:c r="H682" s="6" t="n">
        <x:v>115</x:v>
      </x:c>
      <x:c r="I682" s="6" t="n">
        <x:v>8705</x:v>
      </x:c>
      <x:c r="J682" s="11" t="n">
        <x:f>E682/D682</x:f>
        <x:v>1</x:v>
      </x:c>
      <x:c r="K682" s="11" t="n">
        <x:f>F682/D682</x:f>
        <x:v>0</x:v>
      </x:c>
      <x:c r="L682" s="13" t="n">
        <x:f>I682/D682</x:f>
        <x:v>11.032953105196452</x:v>
      </x:c>
      <x:c r="M682" s="6" t="str">
        <x:v>Included</x:v>
      </x:c>
    </x:row>
    <x:row r="683" ht="23" customHeight="1">
      <x:c r="B683" s="12" t="str">
        <x:v>7828</x:v>
      </x:c>
      <x:c r="C683" s="6" t="str">
        <x:v>Wakunda Pl / O'Connor Dr</x:v>
      </x:c>
      <x:c r="D683" s="6" t="n">
        <x:v>792</x:v>
      </x:c>
      <x:c r="E683" s="6" t="n">
        <x:v>792</x:v>
      </x:c>
      <x:c r="F683" s="6" t="n">
        <x:v>0</x:v>
      </x:c>
      <x:c r="G683" s="6" t="n">
        <x:v>11</x:v>
      </x:c>
      <x:c r="H683" s="6" t="n">
        <x:v>115</x:v>
      </x:c>
      <x:c r="I683" s="6" t="n">
        <x:v>8327</x:v>
      </x:c>
      <x:c r="J683" s="11" t="n">
        <x:f>E683/D683</x:f>
        <x:v>1</x:v>
      </x:c>
      <x:c r="K683" s="11" t="n">
        <x:f>F683/D683</x:f>
        <x:v>0</x:v>
      </x:c>
      <x:c r="L683" s="13" t="n">
        <x:f>I683/D683</x:f>
        <x:v>10.51388888888889</x:v>
      </x:c>
      <x:c r="M683" s="6" t="str">
        <x:v>Included</x:v>
      </x:c>
    </x:row>
    <x:row r="684" ht="23" customHeight="1">
      <x:c r="B684" s="12" t="str">
        <x:v>7830</x:v>
      </x:c>
      <x:c r="C684" s="6" t="str">
        <x:v>Plaxton Dr / St. Clair Ave E</x:v>
      </x:c>
      <x:c r="D684" s="6" t="n">
        <x:v>780</x:v>
      </x:c>
      <x:c r="E684" s="6" t="n">
        <x:v>780</x:v>
      </x:c>
      <x:c r="F684" s="6" t="n">
        <x:v>0</x:v>
      </x:c>
      <x:c r="G684" s="6" t="n">
        <x:v>11</x:v>
      </x:c>
      <x:c r="H684" s="6" t="n">
        <x:v>116</x:v>
      </x:c>
      <x:c r="I684" s="6" t="n">
        <x:v>11067</x:v>
      </x:c>
      <x:c r="J684" s="11" t="n">
        <x:f>E684/D684</x:f>
        <x:v>1</x:v>
      </x:c>
      <x:c r="K684" s="11" t="n">
        <x:f>F684/D684</x:f>
        <x:v>0</x:v>
      </x:c>
      <x:c r="L684" s="13" t="n">
        <x:f>I684/D684</x:f>
        <x:v>14.188461538461539</x:v>
      </x:c>
      <x:c r="M684" s="6" t="str">
        <x:v>Included</x:v>
      </x:c>
    </x:row>
    <x:row r="685" ht="23" customHeight="1">
      <x:c r="B685" s="12" t="str">
        <x:v>7831</x:v>
      </x:c>
      <x:c r="C685" s="6" t="str">
        <x:v>Victoria Park Ave / Edge Park Ave</x:v>
      </x:c>
      <x:c r="D685" s="6" t="n">
        <x:v>786</x:v>
      </x:c>
      <x:c r="E685" s="6" t="n">
        <x:v>786</x:v>
      </x:c>
      <x:c r="F685" s="6" t="n">
        <x:v>0</x:v>
      </x:c>
      <x:c r="G685" s="6" t="n">
        <x:v>11</x:v>
      </x:c>
      <x:c r="H685" s="6" t="n">
        <x:v>115</x:v>
      </x:c>
      <x:c r="I685" s="6" t="n">
        <x:v>13992</x:v>
      </x:c>
      <x:c r="J685" s="11" t="n">
        <x:f>E685/D685</x:f>
        <x:v>1</x:v>
      </x:c>
      <x:c r="K685" s="11" t="n">
        <x:f>F685/D685</x:f>
        <x:v>0</x:v>
      </x:c>
      <x:c r="L685" s="13" t="n">
        <x:f>I685/D685</x:f>
        <x:v>17.801526717557252</x:v>
      </x:c>
      <x:c r="M685" s="6" t="str">
        <x:v>Included</x:v>
      </x:c>
    </x:row>
    <x:row r="686" ht="23" customHeight="1">
      <x:c r="B686" s="12" t="str">
        <x:v>7832</x:v>
      </x:c>
      <x:c r="C686" s="6" t="str">
        <x:v>Finch Subway Station</x:v>
      </x:c>
      <x:c r="D686" s="6" t="n">
        <x:v>783</x:v>
      </x:c>
      <x:c r="E686" s="6" t="n">
        <x:v>783</x:v>
      </x:c>
      <x:c r="F686" s="6" t="n">
        <x:v>0</x:v>
      </x:c>
      <x:c r="G686" s="6" t="n">
        <x:v>11</x:v>
      </x:c>
      <x:c r="H686" s="6" t="n">
        <x:v>114</x:v>
      </x:c>
      <x:c r="I686" s="6" t="n">
        <x:v>11721</x:v>
      </x:c>
      <x:c r="J686" s="11" t="n">
        <x:f>E686/D686</x:f>
        <x:v>1</x:v>
      </x:c>
      <x:c r="K686" s="11" t="n">
        <x:f>F686/D686</x:f>
        <x:v>0</x:v>
      </x:c>
      <x:c r="L686" s="13" t="n">
        <x:f>I686/D686</x:f>
        <x:v>14.969348659003831</x:v>
      </x:c>
      <x:c r="M686" s="6" t="str">
        <x:v>Included</x:v>
      </x:c>
    </x:row>
    <x:row r="687" ht="23" customHeight="1">
      <x:c r="B687" s="12" t="str">
        <x:v>7833</x:v>
      </x:c>
      <x:c r="C687" s="6" t="str">
        <x:v>Glencairn Subway Station</x:v>
      </x:c>
      <x:c r="D687" s="6" t="n">
        <x:v>789</x:v>
      </x:c>
      <x:c r="E687" s="6" t="n">
        <x:v>789</x:v>
      </x:c>
      <x:c r="F687" s="6" t="n">
        <x:v>0</x:v>
      </x:c>
      <x:c r="G687" s="6" t="n">
        <x:v>11</x:v>
      </x:c>
      <x:c r="H687" s="6" t="n">
        <x:v>115</x:v>
      </x:c>
      <x:c r="I687" s="6" t="n">
        <x:v>10836</x:v>
      </x:c>
      <x:c r="J687" s="11" t="n">
        <x:f>E687/D687</x:f>
        <x:v>1</x:v>
      </x:c>
      <x:c r="K687" s="11" t="n">
        <x:f>F687/D687</x:f>
        <x:v>0</x:v>
      </x:c>
      <x:c r="L687" s="13" t="n">
        <x:f>I687/D687</x:f>
        <x:v>13.73384030418251</x:v>
      </x:c>
      <x:c r="M687" s="6" t="str">
        <x:v>Included</x:v>
      </x:c>
    </x:row>
    <x:row r="688" ht="23" customHeight="1">
      <x:c r="B688" s="12" t="str">
        <x:v>7834</x:v>
      </x:c>
      <x:c r="C688" s="6" t="str">
        <x:v>Glen Long Community Centre</x:v>
      </x:c>
      <x:c r="D688" s="6" t="n">
        <x:v>781</x:v>
      </x:c>
      <x:c r="E688" s="6" t="n">
        <x:v>781</x:v>
      </x:c>
      <x:c r="F688" s="6" t="n">
        <x:v>0</x:v>
      </x:c>
      <x:c r="G688" s="6" t="n">
        <x:v>11</x:v>
      </x:c>
      <x:c r="H688" s="6" t="n">
        <x:v>114</x:v>
      </x:c>
      <x:c r="I688" s="6" t="n">
        <x:v>10057</x:v>
      </x:c>
      <x:c r="J688" s="11" t="n">
        <x:f>E688/D688</x:f>
        <x:v>1</x:v>
      </x:c>
      <x:c r="K688" s="11" t="n">
        <x:f>F688/D688</x:f>
        <x:v>0</x:v>
      </x:c>
      <x:c r="L688" s="13" t="n">
        <x:f>I688/D688</x:f>
        <x:v>12.877080665813061</x:v>
      </x:c>
      <x:c r="M688" s="6" t="str">
        <x:v>Included</x:v>
      </x:c>
    </x:row>
    <x:row r="689" ht="23" customHeight="1">
      <x:c r="B689" s="12" t="str">
        <x:v>7835</x:v>
      </x:c>
      <x:c r="C689" s="6" t="str">
        <x:v>Caledonia Rd / Lotherton Pathway</x:v>
      </x:c>
      <x:c r="D689" s="6" t="n">
        <x:v>782</x:v>
      </x:c>
      <x:c r="E689" s="6" t="n">
        <x:v>782</x:v>
      </x:c>
      <x:c r="F689" s="6" t="n">
        <x:v>0</x:v>
      </x:c>
      <x:c r="G689" s="6" t="n">
        <x:v>11</x:v>
      </x:c>
      <x:c r="H689" s="6" t="n">
        <x:v>114</x:v>
      </x:c>
      <x:c r="I689" s="6" t="n">
        <x:v>12165</x:v>
      </x:c>
      <x:c r="J689" s="11" t="n">
        <x:f>E689/D689</x:f>
        <x:v>1</x:v>
      </x:c>
      <x:c r="K689" s="11" t="n">
        <x:f>F689/D689</x:f>
        <x:v>0</x:v>
      </x:c>
      <x:c r="L689" s="13" t="n">
        <x:f>I689/D689</x:f>
        <x:v>15.55626598465473</x:v>
      </x:c>
      <x:c r="M689" s="6" t="str">
        <x:v>Included</x:v>
      </x:c>
    </x:row>
    <x:row r="690" ht="23" customHeight="1">
      <x:c r="B690" s="12" t="str">
        <x:v>7836</x:v>
      </x:c>
      <x:c r="C690" s="6" t="str">
        <x:v>Harvie Ave / Rogers Rd</x:v>
      </x:c>
      <x:c r="D690" s="6" t="n">
        <x:v>793</x:v>
      </x:c>
      <x:c r="E690" s="6" t="n">
        <x:v>793</x:v>
      </x:c>
      <x:c r="F690" s="6" t="n">
        <x:v>0</x:v>
      </x:c>
      <x:c r="G690" s="6" t="n">
        <x:v>11</x:v>
      </x:c>
      <x:c r="H690" s="6" t="n">
        <x:v>115</x:v>
      </x:c>
      <x:c r="I690" s="6" t="n">
        <x:v>10751</x:v>
      </x:c>
      <x:c r="J690" s="11" t="n">
        <x:f>E690/D690</x:f>
        <x:v>1</x:v>
      </x:c>
      <x:c r="K690" s="11" t="n">
        <x:f>F690/D690</x:f>
        <x:v>0</x:v>
      </x:c>
      <x:c r="L690" s="13" t="n">
        <x:f>I690/D690</x:f>
        <x:v>13.557377049180328</x:v>
      </x:c>
      <x:c r="M690" s="6" t="str">
        <x:v>Included</x:v>
      </x:c>
    </x:row>
    <x:row r="691" ht="23" customHeight="1">
      <x:c r="B691" s="12" t="str">
        <x:v>7837</x:v>
      </x:c>
      <x:c r="C691" s="6" t="str">
        <x:v>Ling Rd / Morningside Ave</x:v>
      </x:c>
      <x:c r="D691" s="6" t="n">
        <x:v>785</x:v>
      </x:c>
      <x:c r="E691" s="6" t="n">
        <x:v>785</x:v>
      </x:c>
      <x:c r="F691" s="6" t="n">
        <x:v>0</x:v>
      </x:c>
      <x:c r="G691" s="6" t="n">
        <x:v>11</x:v>
      </x:c>
      <x:c r="H691" s="6" t="n">
        <x:v>114</x:v>
      </x:c>
      <x:c r="I691" s="6" t="n">
        <x:v>12841</x:v>
      </x:c>
      <x:c r="J691" s="11" t="n">
        <x:f>E691/D691</x:f>
        <x:v>1</x:v>
      </x:c>
      <x:c r="K691" s="11" t="n">
        <x:f>F691/D691</x:f>
        <x:v>0</x:v>
      </x:c>
      <x:c r="L691" s="13" t="n">
        <x:f>I691/D691</x:f>
        <x:v>16.35796178343949</x:v>
      </x:c>
      <x:c r="M691" s="6" t="str">
        <x:v>Included</x:v>
      </x:c>
    </x:row>
    <x:row r="692" ht="23" customHeight="1">
      <x:c r="B692" s="12" t="str">
        <x:v>7838</x:v>
      </x:c>
      <x:c r="C692" s="6" t="str">
        <x:v>Lake Shore Blvd W / Legion Rd</x:v>
      </x:c>
      <x:c r="D692" s="6" t="n">
        <x:v>778</x:v>
      </x:c>
      <x:c r="E692" s="6" t="n">
        <x:v>647</x:v>
      </x:c>
      <x:c r="F692" s="6" t="n">
        <x:v>131</x:v>
      </x:c>
      <x:c r="G692" s="6" t="n">
        <x:v>11</x:v>
      </x:c>
      <x:c r="H692" s="6" t="n">
        <x:v>114</x:v>
      </x:c>
      <x:c r="I692" s="6" t="n">
        <x:v>1639</x:v>
      </x:c>
      <x:c r="J692" s="11" t="n">
        <x:f>E692/D692</x:f>
        <x:v>0.8316195372750642</x:v>
      </x:c>
      <x:c r="K692" s="11" t="n">
        <x:f>F692/D692</x:f>
        <x:v>0.16838046272493573</x:v>
      </x:c>
      <x:c r="L692" s="13" t="n">
        <x:f>I692/D692</x:f>
        <x:v>2.1066838046272496</x:v>
      </x:c>
      <x:c r="M692" s="6" t="str">
        <x:v>Included</x:v>
      </x:c>
    </x:row>
    <x:row r="693" ht="23" customHeight="1">
      <x:c r="B693" s="12" t="str">
        <x:v>7839</x:v>
      </x:c>
      <x:c r="C693" s="6" t="str">
        <x:v>Lake Shore Blvd W / Seventeenth St</x:v>
      </x:c>
      <x:c r="D693" s="6" t="n">
        <x:v>791</x:v>
      </x:c>
      <x:c r="E693" s="6" t="n">
        <x:v>791</x:v>
      </x:c>
      <x:c r="F693" s="6" t="n">
        <x:v>0</x:v>
      </x:c>
      <x:c r="G693" s="6" t="n">
        <x:v>11</x:v>
      </x:c>
      <x:c r="H693" s="6" t="n">
        <x:v>115</x:v>
      </x:c>
      <x:c r="I693" s="6" t="n">
        <x:v>4064</x:v>
      </x:c>
      <x:c r="J693" s="11" t="n">
        <x:f>E693/D693</x:f>
        <x:v>1</x:v>
      </x:c>
      <x:c r="K693" s="11" t="n">
        <x:f>F693/D693</x:f>
        <x:v>0</x:v>
      </x:c>
      <x:c r="L693" s="13" t="n">
        <x:f>I693/D693</x:f>
        <x:v>5.1378002528445</x:v>
      </x:c>
      <x:c r="M693" s="6" t="str">
        <x:v>Included</x:v>
      </x:c>
    </x:row>
    <x:row r="694" ht="23" customHeight="1">
      <x:c r="B694" s="12" t="str">
        <x:v>7840</x:v>
      </x:c>
      <x:c r="C694" s="6" t="str">
        <x:v>Mabelle Park</x:v>
      </x:c>
      <x:c r="D694" s="6" t="n">
        <x:v>783</x:v>
      </x:c>
      <x:c r="E694" s="6" t="n">
        <x:v>783</x:v>
      </x:c>
      <x:c r="F694" s="6" t="n">
        <x:v>0</x:v>
      </x:c>
      <x:c r="G694" s="6" t="n">
        <x:v>11</x:v>
      </x:c>
      <x:c r="H694" s="6" t="n">
        <x:v>114</x:v>
      </x:c>
      <x:c r="I694" s="6" t="n">
        <x:v>10803</x:v>
      </x:c>
      <x:c r="J694" s="11" t="n">
        <x:f>E694/D694</x:f>
        <x:v>1</x:v>
      </x:c>
      <x:c r="K694" s="11" t="n">
        <x:f>F694/D694</x:f>
        <x:v>0</x:v>
      </x:c>
      <x:c r="L694" s="13" t="n">
        <x:f>I694/D694</x:f>
        <x:v>13.796934865900383</x:v>
      </x:c>
      <x:c r="M694" s="6" t="str">
        <x:v>Included</x:v>
      </x:c>
    </x:row>
    <x:row r="695" ht="23" customHeight="1">
      <x:c r="B695" s="12" t="str">
        <x:v>7841</x:v>
      </x:c>
      <x:c r="C695" s="6" t="str">
        <x:v>Islington Subway Station (Aberfoyle Cres)</x:v>
      </x:c>
      <x:c r="D695" s="6" t="n">
        <x:v>787</x:v>
      </x:c>
      <x:c r="E695" s="6" t="n">
        <x:v>785</x:v>
      </x:c>
      <x:c r="F695" s="6" t="n">
        <x:v>2</x:v>
      </x:c>
      <x:c r="G695" s="6" t="n">
        <x:v>11</x:v>
      </x:c>
      <x:c r="H695" s="6" t="n">
        <x:v>115</x:v>
      </x:c>
      <x:c r="I695" s="6" t="n">
        <x:v>7236</x:v>
      </x:c>
      <x:c r="J695" s="11" t="n">
        <x:f>E695/D695</x:f>
        <x:v>0.9974587039390089</x:v>
      </x:c>
      <x:c r="K695" s="11" t="n">
        <x:f>F695/D695</x:f>
        <x:v>0.0025412960609911056</x:v>
      </x:c>
      <x:c r="L695" s="13" t="n">
        <x:f>I695/D695</x:f>
        <x:v>9.19440914866582</x:v>
      </x:c>
      <x:c r="M695" s="6" t="str">
        <x:v>Included</x:v>
      </x:c>
    </x:row>
    <x:row r="696" ht="23" customHeight="1">
      <x:c r="B696" s="12" t="str">
        <x:v>7842</x:v>
      </x:c>
      <x:c r="C696" s="6" t="str">
        <x:v>Lake Shore Blvd W / Long Branch Ave</x:v>
      </x:c>
      <x:c r="D696" s="6" t="n">
        <x:v>785</x:v>
      </x:c>
      <x:c r="E696" s="6" t="n">
        <x:v>612</x:v>
      </x:c>
      <x:c r="F696" s="6" t="n">
        <x:v>173</x:v>
      </x:c>
      <x:c r="G696" s="6" t="n">
        <x:v>11</x:v>
      </x:c>
      <x:c r="H696" s="6" t="n">
        <x:v>116</x:v>
      </x:c>
      <x:c r="I696" s="6" t="n">
        <x:v>4336</x:v>
      </x:c>
      <x:c r="J696" s="11" t="n">
        <x:f>E696/D696</x:f>
        <x:v>0.7796178343949045</x:v>
      </x:c>
      <x:c r="K696" s="11" t="n">
        <x:f>F696/D696</x:f>
        <x:v>0.22038216560509555</x:v>
      </x:c>
      <x:c r="L696" s="13" t="n">
        <x:f>I696/D696</x:f>
        <x:v>5.523566878980891</x:v>
      </x:c>
      <x:c r="M696" s="6" t="str">
        <x:v>Included</x:v>
      </x:c>
    </x:row>
    <x:row r="697" ht="23" customHeight="1">
      <x:c r="B697" s="12" t="str">
        <x:v>7843</x:v>
      </x:c>
      <x:c r="C697" s="6" t="str">
        <x:v>Uno Dr / The Queensway</x:v>
      </x:c>
      <x:c r="D697" s="6" t="n">
        <x:v>789</x:v>
      </x:c>
      <x:c r="E697" s="6" t="n">
        <x:v>776</x:v>
      </x:c>
      <x:c r="F697" s="6" t="n">
        <x:v>13</x:v>
      </x:c>
      <x:c r="G697" s="6" t="n">
        <x:v>11</x:v>
      </x:c>
      <x:c r="H697" s="6" t="n">
        <x:v>115</x:v>
      </x:c>
      <x:c r="I697" s="6" t="n">
        <x:v>6466</x:v>
      </x:c>
      <x:c r="J697" s="11" t="n">
        <x:f>E697/D697</x:f>
        <x:v>0.9835234474017744</x:v>
      </x:c>
      <x:c r="K697" s="11" t="n">
        <x:f>F697/D697</x:f>
        <x:v>0.016476552598225603</x:v>
      </x:c>
      <x:c r="L697" s="13" t="n">
        <x:f>I697/D697</x:f>
        <x:v>8.195183776932826</x:v>
      </x:c>
      <x:c r="M697" s="6" t="str">
        <x:v>Included</x:v>
      </x:c>
    </x:row>
    <x:row r="698" ht="23" customHeight="1">
      <x:c r="B698" s="12" t="str">
        <x:v>7844</x:v>
      </x:c>
      <x:c r="C698" s="6" t="str">
        <x:v>Second St / Lake Shore Blvd W</x:v>
      </x:c>
      <x:c r="D698" s="6" t="n">
        <x:v>778</x:v>
      </x:c>
      <x:c r="E698" s="6" t="n">
        <x:v>777</x:v>
      </x:c>
      <x:c r="F698" s="6" t="n">
        <x:v>1</x:v>
      </x:c>
      <x:c r="G698" s="6" t="n">
        <x:v>11</x:v>
      </x:c>
      <x:c r="H698" s="6" t="n">
        <x:v>114</x:v>
      </x:c>
      <x:c r="I698" s="6" t="n">
        <x:v>5948</x:v>
      </x:c>
      <x:c r="J698" s="11" t="n">
        <x:f>E698/D698</x:f>
        <x:v>0.9987146529562982</x:v>
      </x:c>
      <x:c r="K698" s="11" t="n">
        <x:f>F698/D698</x:f>
        <x:v>0.0012853470437017994</x:v>
      </x:c>
      <x:c r="L698" s="13" t="n">
        <x:f>I698/D698</x:f>
        <x:v>7.645244215938304</x:v>
      </x:c>
      <x:c r="M698" s="6" t="str">
        <x:v>Included</x:v>
      </x:c>
    </x:row>
    <x:row r="699" ht="23" customHeight="1">
      <x:c r="B699" s="12" t="str">
        <x:v>7845</x:v>
      </x:c>
      <x:c r="C699" s="6" t="str">
        <x:v>Sixth St / Lake Shore Blvd W</x:v>
      </x:c>
      <x:c r="D699" s="6" t="n">
        <x:v>784</x:v>
      </x:c>
      <x:c r="E699" s="6" t="n">
        <x:v>580</x:v>
      </x:c>
      <x:c r="F699" s="6" t="n">
        <x:v>204</x:v>
      </x:c>
      <x:c r="G699" s="6" t="n">
        <x:v>11</x:v>
      </x:c>
      <x:c r="H699" s="6" t="n">
        <x:v>115</x:v>
      </x:c>
      <x:c r="I699" s="6" t="n">
        <x:v>1840</x:v>
      </x:c>
      <x:c r="J699" s="11" t="n">
        <x:f>E699/D699</x:f>
        <x:v>0.7397959183673469</x:v>
      </x:c>
      <x:c r="K699" s="11" t="n">
        <x:f>F699/D699</x:f>
        <x:v>0.2602040816326531</x:v>
      </x:c>
      <x:c r="L699" s="13" t="n">
        <x:f>I699/D699</x:f>
        <x:v>2.3469387755102042</x:v>
      </x:c>
      <x:c r="M699" s="6" t="str">
        <x:v>Included</x:v>
      </x:c>
    </x:row>
    <x:row r="700" ht="23" customHeight="1">
      <x:c r="B700" s="12" t="str">
        <x:v>7846</x:v>
      </x:c>
      <x:c r="C700" s="6" t="str">
        <x:v>Bloor St W / Dundas St W (2)</x:v>
      </x:c>
      <x:c r="D700" s="6" t="n">
        <x:v>784</x:v>
      </x:c>
      <x:c r="E700" s="6" t="n">
        <x:v>784</x:v>
      </x:c>
      <x:c r="F700" s="6" t="n">
        <x:v>0</x:v>
      </x:c>
      <x:c r="G700" s="6" t="n">
        <x:v>11</x:v>
      </x:c>
      <x:c r="H700" s="6" t="n">
        <x:v>115</x:v>
      </x:c>
      <x:c r="I700" s="6" t="n">
        <x:v>8262</x:v>
      </x:c>
      <x:c r="J700" s="11" t="n">
        <x:f>E700/D700</x:f>
        <x:v>1</x:v>
      </x:c>
      <x:c r="K700" s="11" t="n">
        <x:f>F700/D700</x:f>
        <x:v>0</x:v>
      </x:c>
      <x:c r="L700" s="13" t="n">
        <x:f>I700/D700</x:f>
        <x:v>10.53826530612245</x:v>
      </x:c>
      <x:c r="M700" s="6" t="str">
        <x:v>Included</x:v>
      </x:c>
    </x:row>
    <x:row r="701" ht="23" customHeight="1">
      <x:c r="B701" s="12" t="str">
        <x:v>7848</x:v>
      </x:c>
      <x:c r="C701" s="6" t="str">
        <x:v>Gerrard St E / Nasmith Ave</x:v>
      </x:c>
      <x:c r="D701" s="6" t="n">
        <x:v>788</x:v>
      </x:c>
      <x:c r="E701" s="6" t="n">
        <x:v>710</x:v>
      </x:c>
      <x:c r="F701" s="6" t="n">
        <x:v>78</x:v>
      </x:c>
      <x:c r="G701" s="6" t="n">
        <x:v>11</x:v>
      </x:c>
      <x:c r="H701" s="6" t="n">
        <x:v>115</x:v>
      </x:c>
      <x:c r="I701" s="6" t="n">
        <x:v>11309</x:v>
      </x:c>
      <x:c r="J701" s="11" t="n">
        <x:f>E701/D701</x:f>
        <x:v>0.9010152284263959</x:v>
      </x:c>
      <x:c r="K701" s="11" t="n">
        <x:f>F701/D701</x:f>
        <x:v>0.09898477157360407</x:v>
      </x:c>
      <x:c r="L701" s="13" t="n">
        <x:f>I701/D701</x:f>
        <x:v>14.351522842639595</x:v>
      </x:c>
      <x:c r="M701" s="6" t="str">
        <x:v>Included</x:v>
      </x:c>
    </x:row>
    <x:row r="702" ht="23" customHeight="1">
      <x:c r="B702" s="12" t="str">
        <x:v>7849</x:v>
      </x:c>
      <x:c r="C702" s="6" t="str">
        <x:v>Viewmount Park</x:v>
      </x:c>
      <x:c r="D702" s="6" t="n">
        <x:v>781</x:v>
      </x:c>
      <x:c r="E702" s="6" t="n">
        <x:v>781</x:v>
      </x:c>
      <x:c r="F702" s="6" t="n">
        <x:v>0</x:v>
      </x:c>
      <x:c r="G702" s="6" t="n">
        <x:v>11</x:v>
      </x:c>
      <x:c r="H702" s="6" t="n">
        <x:v>113</x:v>
      </x:c>
      <x:c r="I702" s="6" t="n">
        <x:v>9684</x:v>
      </x:c>
      <x:c r="J702" s="11" t="n">
        <x:f>E702/D702</x:f>
        <x:v>1</x:v>
      </x:c>
      <x:c r="K702" s="11" t="n">
        <x:f>F702/D702</x:f>
        <x:v>0</x:v>
      </x:c>
      <x:c r="L702" s="13" t="n">
        <x:f>I702/D702</x:f>
        <x:v>12.399487836107554</x:v>
      </x:c>
      <x:c r="M702" s="6" t="str">
        <x:v>Included</x:v>
      </x:c>
    </x:row>
    <x:row r="703" ht="23" customHeight="1">
      <x:c r="B703" s="12" t="str">
        <x:v>7850</x:v>
      </x:c>
      <x:c r="C703" s="6" t="str">
        <x:v>Maud St / Adelaide St W - SMART</x:v>
      </x:c>
      <x:c r="D703" s="6" t="n">
        <x:v>790</x:v>
      </x:c>
      <x:c r="E703" s="6" t="n">
        <x:v>635</x:v>
      </x:c>
      <x:c r="F703" s="6" t="n">
        <x:v>155</x:v>
      </x:c>
      <x:c r="G703" s="6" t="n">
        <x:v>11</x:v>
      </x:c>
      <x:c r="H703" s="6" t="n">
        <x:v>114</x:v>
      </x:c>
      <x:c r="I703" s="6" t="n">
        <x:v>3407</x:v>
      </x:c>
      <x:c r="J703" s="11" t="n">
        <x:f>E703/D703</x:f>
        <x:v>0.8037974683544303</x:v>
      </x:c>
      <x:c r="K703" s="11" t="n">
        <x:f>F703/D703</x:f>
        <x:v>0.1962025316455696</x:v>
      </x:c>
      <x:c r="L703" s="13" t="n">
        <x:f>I703/D703</x:f>
        <x:v>4.312658227848101</x:v>
      </x:c>
      <x:c r="M703" s="6" t="str">
        <x:v>Included</x:v>
      </x:c>
    </x:row>
    <x:row r="704" ht="23" customHeight="1">
      <x:c r="B704" s="12" t="str">
        <x:v>7851</x:v>
      </x:c>
      <x:c r="C704" s="6" t="str">
        <x:v>Keele St / Ingram Dr</x:v>
      </x:c>
      <x:c r="D704" s="6" t="n">
        <x:v>790</x:v>
      </x:c>
      <x:c r="E704" s="6" t="n">
        <x:v>790</x:v>
      </x:c>
      <x:c r="F704" s="6" t="n">
        <x:v>0</x:v>
      </x:c>
      <x:c r="G704" s="6" t="n">
        <x:v>11</x:v>
      </x:c>
      <x:c r="H704" s="6" t="n">
        <x:v>115</x:v>
      </x:c>
      <x:c r="I704" s="6" t="n">
        <x:v>10710</x:v>
      </x:c>
      <x:c r="J704" s="11" t="n">
        <x:f>E704/D704</x:f>
        <x:v>1</x:v>
      </x:c>
      <x:c r="K704" s="11" t="n">
        <x:f>F704/D704</x:f>
        <x:v>0</x:v>
      </x:c>
      <x:c r="L704" s="13" t="n">
        <x:f>I704/D704</x:f>
        <x:v>13.556962025316455</x:v>
      </x:c>
      <x:c r="M704" s="6" t="str">
        <x:v>Included</x:v>
      </x:c>
    </x:row>
    <x:row r="705" ht="23" customHeight="1">
      <x:c r="B705" s="12" t="str">
        <x:v>7852</x:v>
      </x:c>
      <x:c r="C705" s="6" t="str">
        <x:v>York Recreation Centre</x:v>
      </x:c>
      <x:c r="D705" s="6" t="n">
        <x:v>808</x:v>
      </x:c>
      <x:c r="E705" s="6" t="n">
        <x:v>808</x:v>
      </x:c>
      <x:c r="F705" s="6" t="n">
        <x:v>0</x:v>
      </x:c>
      <x:c r="G705" s="6" t="n">
        <x:v>11</x:v>
      </x:c>
      <x:c r="H705" s="6" t="n">
        <x:v>114</x:v>
      </x:c>
      <x:c r="I705" s="6" t="n">
        <x:v>13648</x:v>
      </x:c>
      <x:c r="J705" s="11" t="n">
        <x:f>E705/D705</x:f>
        <x:v>1</x:v>
      </x:c>
      <x:c r="K705" s="11" t="n">
        <x:f>F705/D705</x:f>
        <x:v>0</x:v>
      </x:c>
      <x:c r="L705" s="13" t="n">
        <x:f>I705/D705</x:f>
        <x:v>16.89108910891089</x:v>
      </x:c>
      <x:c r="M705" s="6" t="str">
        <x:v>Included</x:v>
      </x:c>
    </x:row>
    <x:row r="706" ht="23" customHeight="1">
      <x:c r="B706" s="12" t="str">
        <x:v>7853</x:v>
      </x:c>
      <x:c r="C706" s="6" t="str">
        <x:v>Trethewey Dr / Black Creek Dr</x:v>
      </x:c>
      <x:c r="D706" s="6" t="n">
        <x:v>785</x:v>
      </x:c>
      <x:c r="E706" s="6" t="n">
        <x:v>546</x:v>
      </x:c>
      <x:c r="F706" s="6" t="n">
        <x:v>239</x:v>
      </x:c>
      <x:c r="G706" s="6" t="n">
        <x:v>11</x:v>
      </x:c>
      <x:c r="H706" s="6" t="n">
        <x:v>114</x:v>
      </x:c>
      <x:c r="I706" s="6" t="n">
        <x:v>1659</x:v>
      </x:c>
      <x:c r="J706" s="11" t="n">
        <x:f>E706/D706</x:f>
        <x:v>0.6955414012738853</x:v>
      </x:c>
      <x:c r="K706" s="11" t="n">
        <x:f>F706/D706</x:f>
        <x:v>0.30445859872611464</x:v>
      </x:c>
      <x:c r="L706" s="13" t="n">
        <x:f>I706/D706</x:f>
        <x:v>2.113375796178344</x:v>
      </x:c>
      <x:c r="M706" s="6" t="str">
        <x:v>Included</x:v>
      </x:c>
    </x:row>
    <x:row r="707" ht="23" customHeight="1">
      <x:c r="B707" s="12" t="str">
        <x:v>7854</x:v>
      </x:c>
      <x:c r="C707" s="6" t="str">
        <x:v>Jane St / Haney Ave</x:v>
      </x:c>
      <x:c r="D707" s="6" t="n">
        <x:v>787</x:v>
      </x:c>
      <x:c r="E707" s="6" t="n">
        <x:v>787</x:v>
      </x:c>
      <x:c r="F707" s="6" t="n">
        <x:v>0</x:v>
      </x:c>
      <x:c r="G707" s="6" t="n">
        <x:v>11</x:v>
      </x:c>
      <x:c r="H707" s="6" t="n">
        <x:v>114</x:v>
      </x:c>
      <x:c r="I707" s="6" t="n">
        <x:v>13562</x:v>
      </x:c>
      <x:c r="J707" s="11" t="n">
        <x:f>E707/D707</x:f>
        <x:v>1</x:v>
      </x:c>
      <x:c r="K707" s="11" t="n">
        <x:f>F707/D707</x:f>
        <x:v>0</x:v>
      </x:c>
      <x:c r="L707" s="13" t="n">
        <x:f>I707/D707</x:f>
        <x:v>17.232528589580685</x:v>
      </x:c>
      <x:c r="M707" s="6" t="str">
        <x:v>Included</x:v>
      </x:c>
    </x:row>
    <x:row r="708" ht="23" customHeight="1">
      <x:c r="B708" s="12" t="str">
        <x:v>7855</x:v>
      </x:c>
      <x:c r="C708" s="6" t="str">
        <x:v>Scarlett Rd / Eileen Ave</x:v>
      </x:c>
      <x:c r="D708" s="6" t="n">
        <x:v>783</x:v>
      </x:c>
      <x:c r="E708" s="6" t="n">
        <x:v>783</x:v>
      </x:c>
      <x:c r="F708" s="6" t="n">
        <x:v>0</x:v>
      </x:c>
      <x:c r="G708" s="6" t="n">
        <x:v>11</x:v>
      </x:c>
      <x:c r="H708" s="6" t="n">
        <x:v>114</x:v>
      </x:c>
      <x:c r="I708" s="6" t="n">
        <x:v>9423</x:v>
      </x:c>
      <x:c r="J708" s="11" t="n">
        <x:f>E708/D708</x:f>
        <x:v>1</x:v>
      </x:c>
      <x:c r="K708" s="11" t="n">
        <x:f>F708/D708</x:f>
        <x:v>0</x:v>
      </x:c>
      <x:c r="L708" s="13" t="n">
        <x:f>I708/D708</x:f>
        <x:v>12.03448275862069</x:v>
      </x:c>
      <x:c r="M708" s="6" t="str">
        <x:v>Included</x:v>
      </x:c>
    </x:row>
    <x:row r="709" ht="23" customHeight="1">
      <x:c r="B709" s="12" t="str">
        <x:v>7856</x:v>
      </x:c>
      <x:c r="C709" s="6" t="str">
        <x:v>Scarlett Rd / Old Scarlett Rd</x:v>
      </x:c>
      <x:c r="D709" s="6" t="n">
        <x:v>793</x:v>
      </x:c>
      <x:c r="E709" s="6" t="n">
        <x:v>793</x:v>
      </x:c>
      <x:c r="F709" s="6" t="n">
        <x:v>0</x:v>
      </x:c>
      <x:c r="G709" s="6" t="n">
        <x:v>11</x:v>
      </x:c>
      <x:c r="H709" s="6" t="n">
        <x:v>114</x:v>
      </x:c>
      <x:c r="I709" s="6" t="n">
        <x:v>10437</x:v>
      </x:c>
      <x:c r="J709" s="11" t="n">
        <x:f>E709/D709</x:f>
        <x:v>1</x:v>
      </x:c>
      <x:c r="K709" s="11" t="n">
        <x:f>F709/D709</x:f>
        <x:v>0</x:v>
      </x:c>
      <x:c r="L709" s="13" t="n">
        <x:f>I709/D709</x:f>
        <x:v>13.161412358133669</x:v>
      </x:c>
      <x:c r="M709" s="6" t="str">
        <x:v>Included</x:v>
      </x:c>
    </x:row>
    <x:row r="710" ht="23" customHeight="1">
      <x:c r="B710" s="12" t="str">
        <x:v>7857</x:v>
      </x:c>
      <x:c r="C710" s="6" t="str">
        <x:v>Eglinton Ave W / Venn Cres</x:v>
      </x:c>
      <x:c r="D710" s="6" t="n">
        <x:v>782</x:v>
      </x:c>
      <x:c r="E710" s="6" t="n">
        <x:v>782</x:v>
      </x:c>
      <x:c r="F710" s="6" t="n">
        <x:v>0</x:v>
      </x:c>
      <x:c r="G710" s="6" t="n">
        <x:v>11</x:v>
      </x:c>
      <x:c r="H710" s="6" t="n">
        <x:v>115</x:v>
      </x:c>
      <x:c r="I710" s="6" t="n">
        <x:v>12251</x:v>
      </x:c>
      <x:c r="J710" s="11" t="n">
        <x:f>E710/D710</x:f>
        <x:v>1</x:v>
      </x:c>
      <x:c r="K710" s="11" t="n">
        <x:f>F710/D710</x:f>
        <x:v>0</x:v>
      </x:c>
      <x:c r="L710" s="13" t="n">
        <x:f>I710/D710</x:f>
        <x:v>15.66624040920716</x:v>
      </x:c>
      <x:c r="M710" s="6" t="str">
        <x:v>Included</x:v>
      </x:c>
    </x:row>
    <x:row r="711" ht="23" customHeight="1">
      <x:c r="B711" s="12" t="str">
        <x:v>7858</x:v>
      </x:c>
      <x:c r="C711" s="6" t="str">
        <x:v>Rogers Rd / Bicknell Ave</x:v>
      </x:c>
      <x:c r="D711" s="6" t="n">
        <x:v>788</x:v>
      </x:c>
      <x:c r="E711" s="6" t="n">
        <x:v>788</x:v>
      </x:c>
      <x:c r="F711" s="6" t="n">
        <x:v>0</x:v>
      </x:c>
      <x:c r="G711" s="6" t="n">
        <x:v>11</x:v>
      </x:c>
      <x:c r="H711" s="6" t="n">
        <x:v>116</x:v>
      </x:c>
      <x:c r="I711" s="6" t="n">
        <x:v>14677</x:v>
      </x:c>
      <x:c r="J711" s="11" t="n">
        <x:f>E711/D711</x:f>
        <x:v>1</x:v>
      </x:c>
      <x:c r="K711" s="11" t="n">
        <x:f>F711/D711</x:f>
        <x:v>0</x:v>
      </x:c>
      <x:c r="L711" s="13" t="n">
        <x:f>I711/D711</x:f>
        <x:v>18.625634517766496</x:v>
      </x:c>
      <x:c r="M711" s="6" t="str">
        <x:v>Included</x:v>
      </x:c>
    </x:row>
    <x:row r="712" ht="23" customHeight="1">
      <x:c r="B712" s="12" t="str">
        <x:v>7859</x:v>
      </x:c>
      <x:c r="C712" s="6" t="str">
        <x:v>Mallaby Park</x:v>
      </x:c>
      <x:c r="D712" s="6" t="n">
        <x:v>788</x:v>
      </x:c>
      <x:c r="E712" s="6" t="n">
        <x:v>788</x:v>
      </x:c>
      <x:c r="F712" s="6" t="n">
        <x:v>0</x:v>
      </x:c>
      <x:c r="G712" s="6" t="n">
        <x:v>11</x:v>
      </x:c>
      <x:c r="H712" s="6" t="n">
        <x:v>114</x:v>
      </x:c>
      <x:c r="I712" s="6" t="n">
        <x:v>10844</x:v>
      </x:c>
      <x:c r="J712" s="11" t="n">
        <x:f>E712/D712</x:f>
        <x:v>1</x:v>
      </x:c>
      <x:c r="K712" s="11" t="n">
        <x:f>F712/D712</x:f>
        <x:v>0</x:v>
      </x:c>
      <x:c r="L712" s="13" t="n">
        <x:f>I712/D712</x:f>
        <x:v>13.761421319796954</x:v>
      </x:c>
      <x:c r="M712" s="6" t="str">
        <x:v>Included</x:v>
      </x:c>
    </x:row>
    <x:row r="713" ht="23" customHeight="1">
      <x:c r="B713" s="12" t="str">
        <x:v>7860</x:v>
      </x:c>
      <x:c r="C713" s="6" t="str">
        <x:v>Cruickshank Park</x:v>
      </x:c>
      <x:c r="D713" s="6" t="n">
        <x:v>783</x:v>
      </x:c>
      <x:c r="E713" s="6" t="n">
        <x:v>783</x:v>
      </x:c>
      <x:c r="F713" s="6" t="n">
        <x:v>0</x:v>
      </x:c>
      <x:c r="G713" s="6" t="n">
        <x:v>11</x:v>
      </x:c>
      <x:c r="H713" s="6" t="n">
        <x:v>114</x:v>
      </x:c>
      <x:c r="I713" s="6" t="n">
        <x:v>8407</x:v>
      </x:c>
      <x:c r="J713" s="11" t="n">
        <x:f>E713/D713</x:f>
        <x:v>1</x:v>
      </x:c>
      <x:c r="K713" s="11" t="n">
        <x:f>F713/D713</x:f>
        <x:v>0</x:v>
      </x:c>
      <x:c r="L713" s="13" t="n">
        <x:f>I713/D713</x:f>
        <x:v>10.736909323116219</x:v>
      </x:c>
      <x:c r="M713" s="6" t="str">
        <x:v>Included</x:v>
      </x:c>
    </x:row>
    <x:row r="714" ht="23" customHeight="1">
      <x:c r="B714" s="12" t="str">
        <x:v>7861</x:v>
      </x:c>
      <x:c r="C714" s="6" t="str">
        <x:v>Emmett Ave</x:v>
      </x:c>
      <x:c r="D714" s="6" t="n">
        <x:v>788</x:v>
      </x:c>
      <x:c r="E714" s="6" t="n">
        <x:v>788</x:v>
      </x:c>
      <x:c r="F714" s="6" t="n">
        <x:v>0</x:v>
      </x:c>
      <x:c r="G714" s="6" t="n">
        <x:v>11</x:v>
      </x:c>
      <x:c r="H714" s="6" t="n">
        <x:v>114</x:v>
      </x:c>
      <x:c r="I714" s="6" t="n">
        <x:v>13037</x:v>
      </x:c>
      <x:c r="J714" s="11" t="n">
        <x:f>E714/D714</x:f>
        <x:v>1</x:v>
      </x:c>
      <x:c r="K714" s="11" t="n">
        <x:f>F714/D714</x:f>
        <x:v>0</x:v>
      </x:c>
      <x:c r="L714" s="13" t="n">
        <x:f>I714/D714</x:f>
        <x:v>16.544416243654823</x:v>
      </x:c>
      <x:c r="M714" s="6" t="str">
        <x:v>Included</x:v>
      </x:c>
    </x:row>
    <x:row r="715" ht="23" customHeight="1">
      <x:c r="B715" s="12" t="str">
        <x:v>7862</x:v>
      </x:c>
      <x:c r="C715" s="6" t="str">
        <x:v>Jane St / Weston Rd</x:v>
      </x:c>
      <x:c r="D715" s="6" t="n">
        <x:v>789</x:v>
      </x:c>
      <x:c r="E715" s="6" t="n">
        <x:v>789</x:v>
      </x:c>
      <x:c r="F715" s="6" t="n">
        <x:v>0</x:v>
      </x:c>
      <x:c r="G715" s="6" t="n">
        <x:v>11</x:v>
      </x:c>
      <x:c r="H715" s="6" t="n">
        <x:v>114</x:v>
      </x:c>
      <x:c r="I715" s="6" t="n">
        <x:v>9480</x:v>
      </x:c>
      <x:c r="J715" s="11" t="n">
        <x:f>E715/D715</x:f>
        <x:v>1</x:v>
      </x:c>
      <x:c r="K715" s="11" t="n">
        <x:f>F715/D715</x:f>
        <x:v>0</x:v>
      </x:c>
      <x:c r="L715" s="13" t="n">
        <x:f>I715/D715</x:f>
        <x:v>12.015209125475286</x:v>
      </x:c>
      <x:c r="M715" s="6" t="str">
        <x:v>Included</x:v>
      </x:c>
    </x:row>
    <x:row r="716" ht="23" customHeight="1">
      <x:c r="B716" s="12" t="str">
        <x:v>7863</x:v>
      </x:c>
      <x:c r="C716" s="6" t="str">
        <x:v>Jane St / Queens Dr</x:v>
      </x:c>
      <x:c r="D716" s="6" t="n">
        <x:v>786</x:v>
      </x:c>
      <x:c r="E716" s="6" t="n">
        <x:v>786</x:v>
      </x:c>
      <x:c r="F716" s="6" t="n">
        <x:v>0</x:v>
      </x:c>
      <x:c r="G716" s="6" t="n">
        <x:v>11</x:v>
      </x:c>
      <x:c r="H716" s="6" t="n">
        <x:v>115</x:v>
      </x:c>
      <x:c r="I716" s="6" t="n">
        <x:v>9955</x:v>
      </x:c>
      <x:c r="J716" s="11" t="n">
        <x:f>E716/D716</x:f>
        <x:v>1</x:v>
      </x:c>
      <x:c r="K716" s="11" t="n">
        <x:f>F716/D716</x:f>
        <x:v>0</x:v>
      </x:c>
      <x:c r="L716" s="13" t="n">
        <x:f>I716/D716</x:f>
        <x:v>12.665394402035624</x:v>
      </x:c>
      <x:c r="M716" s="6" t="str">
        <x:v>Included</x:v>
      </x:c>
    </x:row>
    <x:row r="717" ht="23" customHeight="1">
      <x:c r="B717" s="12" t="str">
        <x:v>7864</x:v>
      </x:c>
      <x:c r="C717" s="6" t="str">
        <x:v>Sussex Ave / St George St</x:v>
      </x:c>
      <x:c r="D717" s="6" t="n">
        <x:v>786</x:v>
      </x:c>
      <x:c r="E717" s="6" t="n">
        <x:v>772</x:v>
      </x:c>
      <x:c r="F717" s="6" t="n">
        <x:v>14</x:v>
      </x:c>
      <x:c r="G717" s="6" t="n">
        <x:v>11</x:v>
      </x:c>
      <x:c r="H717" s="6" t="n">
        <x:v>115</x:v>
      </x:c>
      <x:c r="I717" s="6" t="n">
        <x:v>7476</x:v>
      </x:c>
      <x:c r="J717" s="11" t="n">
        <x:f>E717/D717</x:f>
        <x:v>0.9821882951653944</x:v>
      </x:c>
      <x:c r="K717" s="11" t="n">
        <x:f>F717/D717</x:f>
        <x:v>0.017811704834605598</x:v>
      </x:c>
      <x:c r="L717" s="13" t="n">
        <x:f>I717/D717</x:f>
        <x:v>9.511450381679388</x:v>
      </x:c>
      <x:c r="M717" s="6" t="str">
        <x:v>Included</x:v>
      </x:c>
    </x:row>
    <x:row r="718" ht="23" customHeight="1">
      <x:c r="B718" s="12" t="str">
        <x:v>7865</x:v>
      </x:c>
      <x:c r="C718" s="6" t="str">
        <x:v>2700 Eglinton Ave W</x:v>
      </x:c>
      <x:c r="D718" s="6" t="n">
        <x:v>790</x:v>
      </x:c>
      <x:c r="E718" s="6" t="n">
        <x:v>610</x:v>
      </x:c>
      <x:c r="F718" s="6" t="n">
        <x:v>180</x:v>
      </x:c>
      <x:c r="G718" s="6" t="n">
        <x:v>11</x:v>
      </x:c>
      <x:c r="H718" s="6" t="n">
        <x:v>114</x:v>
      </x:c>
      <x:c r="I718" s="6" t="n">
        <x:v>11452</x:v>
      </x:c>
      <x:c r="J718" s="11" t="n">
        <x:f>E718/D718</x:f>
        <x:v>0.7721518987341772</x:v>
      </x:c>
      <x:c r="K718" s="11" t="n">
        <x:f>F718/D718</x:f>
        <x:v>0.22784810126582278</x:v>
      </x:c>
      <x:c r="L718" s="13" t="n">
        <x:f>I718/D718</x:f>
        <x:v>14.49620253164557</x:v>
      </x:c>
      <x:c r="M718" s="6" t="str">
        <x:v>Included</x:v>
      </x:c>
    </x:row>
    <x:row r="719" ht="23" customHeight="1">
      <x:c r="B719" s="12" t="str">
        <x:v>7866</x:v>
      </x:c>
      <x:c r="C719" s="6" t="str">
        <x:v>697 Lansdowne Ave</x:v>
      </x:c>
      <x:c r="D719" s="6" t="n">
        <x:v>793</x:v>
      </x:c>
      <x:c r="E719" s="6" t="n">
        <x:v>725</x:v>
      </x:c>
      <x:c r="F719" s="6" t="n">
        <x:v>68</x:v>
      </x:c>
      <x:c r="G719" s="6" t="n">
        <x:v>11</x:v>
      </x:c>
      <x:c r="H719" s="6" t="n">
        <x:v>114</x:v>
      </x:c>
      <x:c r="I719" s="6" t="n">
        <x:v>9343</x:v>
      </x:c>
      <x:c r="J719" s="11" t="n">
        <x:f>E719/D719</x:f>
        <x:v>0.914249684741488</x:v>
      </x:c>
      <x:c r="K719" s="11" t="n">
        <x:f>F719/D719</x:f>
        <x:v>0.08575031525851198</x:v>
      </x:c>
      <x:c r="L719" s="13" t="n">
        <x:f>I719/D719</x:f>
        <x:v>11.781841109709962</x:v>
      </x:c>
      <x:c r="M719" s="6" t="str">
        <x:v>Included</x:v>
      </x:c>
    </x:row>
    <x:row r="720" ht="23" customHeight="1">
      <x:c r="B720" s="12" t="str">
        <x:v>7867</x:v>
      </x:c>
      <x:c r="C720" s="6" t="str">
        <x:v>15 Price St</x:v>
      </x:c>
      <x:c r="D720" s="6" t="n">
        <x:v>796</x:v>
      </x:c>
      <x:c r="E720" s="6" t="n">
        <x:v>777</x:v>
      </x:c>
      <x:c r="F720" s="6" t="n">
        <x:v>19</x:v>
      </x:c>
      <x:c r="G720" s="6" t="n">
        <x:v>11</x:v>
      </x:c>
      <x:c r="H720" s="6" t="n">
        <x:v>115</x:v>
      </x:c>
      <x:c r="I720" s="6" t="n">
        <x:v>6191</x:v>
      </x:c>
      <x:c r="J720" s="11" t="n">
        <x:f>E720/D720</x:f>
        <x:v>0.9761306532663316</x:v>
      </x:c>
      <x:c r="K720" s="11" t="n">
        <x:f>F720/D720</x:f>
        <x:v>0.02386934673366834</x:v>
      </x:c>
      <x:c r="L720" s="13" t="n">
        <x:f>I720/D720</x:f>
        <x:v>7.777638190954774</x:v>
      </x:c>
      <x:c r="M720" s="6" t="str">
        <x:v>Included</x:v>
      </x:c>
    </x:row>
    <x:row r="721" ht="23" customHeight="1">
      <x:c r="B721" s="12" t="str">
        <x:v>7868</x:v>
      </x:c>
      <x:c r="C721" s="6" t="str">
        <x:v>Sheppard Ave W / Chesswood Dr</x:v>
      </x:c>
      <x:c r="D721" s="6" t="n">
        <x:v>795</x:v>
      </x:c>
      <x:c r="E721" s="6" t="n">
        <x:v>795</x:v>
      </x:c>
      <x:c r="F721" s="6" t="n">
        <x:v>0</x:v>
      </x:c>
      <x:c r="G721" s="6" t="n">
        <x:v>11</x:v>
      </x:c>
      <x:c r="H721" s="6" t="n">
        <x:v>115</x:v>
      </x:c>
      <x:c r="I721" s="6" t="n">
        <x:v>13429</x:v>
      </x:c>
      <x:c r="J721" s="11" t="n">
        <x:f>E721/D721</x:f>
        <x:v>1</x:v>
      </x:c>
      <x:c r="K721" s="11" t="n">
        <x:f>F721/D721</x:f>
        <x:v>0</x:v>
      </x:c>
      <x:c r="L721" s="13" t="n">
        <x:f>I721/D721</x:f>
        <x:v>16.89182389937107</x:v>
      </x:c>
      <x:c r="M721" s="6" t="str">
        <x:v>Included</x:v>
      </x:c>
    </x:row>
    <x:row r="722" ht="23" customHeight="1">
      <x:c r="B722" s="12" t="str">
        <x:v>7869</x:v>
      </x:c>
      <x:c r="C722" s="6" t="str">
        <x:v>Sentinel Rd / Sheppard Ave W</x:v>
      </x:c>
      <x:c r="D722" s="6" t="n">
        <x:v>783</x:v>
      </x:c>
      <x:c r="E722" s="6" t="n">
        <x:v>767</x:v>
      </x:c>
      <x:c r="F722" s="6" t="n">
        <x:v>16</x:v>
      </x:c>
      <x:c r="G722" s="6" t="n">
        <x:v>11</x:v>
      </x:c>
      <x:c r="H722" s="6" t="n">
        <x:v>115</x:v>
      </x:c>
      <x:c r="I722" s="6" t="n">
        <x:v>6107</x:v>
      </x:c>
      <x:c r="J722" s="11" t="n">
        <x:f>E722/D722</x:f>
        <x:v>0.979565772669221</x:v>
      </x:c>
      <x:c r="K722" s="11" t="n">
        <x:f>F722/D722</x:f>
        <x:v>0.020434227330779056</x:v>
      </x:c>
      <x:c r="L722" s="13" t="n">
        <x:f>I722/D722</x:f>
        <x:v>7.7994891443167305</x:v>
      </x:c>
      <x:c r="M722" s="6" t="str">
        <x:v>Included</x:v>
      </x:c>
    </x:row>
    <x:row r="723" ht="23" customHeight="1">
      <x:c r="B723" s="12" t="str">
        <x:v>7870</x:v>
      </x:c>
      <x:c r="C723" s="6" t="str">
        <x:v>Humber River Hospital</x:v>
      </x:c>
      <x:c r="D723" s="6" t="n">
        <x:v>787</x:v>
      </x:c>
      <x:c r="E723" s="6" t="n">
        <x:v>787</x:v>
      </x:c>
      <x:c r="F723" s="6" t="n">
        <x:v>0</x:v>
      </x:c>
      <x:c r="G723" s="6" t="n">
        <x:v>11</x:v>
      </x:c>
      <x:c r="H723" s="6" t="n">
        <x:v>116</x:v>
      </x:c>
      <x:c r="I723" s="6" t="n">
        <x:v>10628</x:v>
      </x:c>
      <x:c r="J723" s="11" t="n">
        <x:f>E723/D723</x:f>
        <x:v>1</x:v>
      </x:c>
      <x:c r="K723" s="11" t="n">
        <x:f>F723/D723</x:f>
        <x:v>0</x:v>
      </x:c>
      <x:c r="L723" s="13" t="n">
        <x:f>I723/D723</x:f>
        <x:v>13.504447268106734</x:v>
      </x:c>
      <x:c r="M723" s="6" t="str">
        <x:v>Included</x:v>
      </x:c>
    </x:row>
    <x:row r="724" ht="23" customHeight="1">
      <x:c r="B724" s="12" t="str">
        <x:v>7871</x:v>
      </x:c>
      <x:c r="C724" s="6" t="str">
        <x:v>Jane St / Lawrence Ave W</x:v>
      </x:c>
      <x:c r="D724" s="6" t="n">
        <x:v>785</x:v>
      </x:c>
      <x:c r="E724" s="6" t="n">
        <x:v>785</x:v>
      </x:c>
      <x:c r="F724" s="6" t="n">
        <x:v>0</x:v>
      </x:c>
      <x:c r="G724" s="6" t="n">
        <x:v>11</x:v>
      </x:c>
      <x:c r="H724" s="6" t="n">
        <x:v>115</x:v>
      </x:c>
      <x:c r="I724" s="6" t="n">
        <x:v>9133</x:v>
      </x:c>
      <x:c r="J724" s="11" t="n">
        <x:f>E724/D724</x:f>
        <x:v>1</x:v>
      </x:c>
      <x:c r="K724" s="11" t="n">
        <x:f>F724/D724</x:f>
        <x:v>0</x:v>
      </x:c>
      <x:c r="L724" s="13" t="n">
        <x:f>I724/D724</x:f>
        <x:v>11.634394904458599</x:v>
      </x:c>
      <x:c r="M724" s="6" t="str">
        <x:v>Included</x:v>
      </x:c>
    </x:row>
    <x:row r="725" ht="23" customHeight="1">
      <x:c r="B725" s="12" t="str">
        <x:v>7872</x:v>
      </x:c>
      <x:c r="C725" s="6" t="str">
        <x:v>Keele St / Catford Rd</x:v>
      </x:c>
      <x:c r="D725" s="6" t="n">
        <x:v>783</x:v>
      </x:c>
      <x:c r="E725" s="6" t="n">
        <x:v>783</x:v>
      </x:c>
      <x:c r="F725" s="6" t="n">
        <x:v>0</x:v>
      </x:c>
      <x:c r="G725" s="6" t="n">
        <x:v>11</x:v>
      </x:c>
      <x:c r="H725" s="6" t="n">
        <x:v>114</x:v>
      </x:c>
      <x:c r="I725" s="6" t="n">
        <x:v>8199</x:v>
      </x:c>
      <x:c r="J725" s="11" t="n">
        <x:f>E725/D725</x:f>
        <x:v>1</x:v>
      </x:c>
      <x:c r="K725" s="11" t="n">
        <x:f>F725/D725</x:f>
        <x:v>0</x:v>
      </x:c>
      <x:c r="L725" s="13" t="n">
        <x:f>I725/D725</x:f>
        <x:v>10.471264367816092</x:v>
      </x:c>
      <x:c r="M725" s="6" t="str">
        <x:v>Included</x:v>
      </x:c>
    </x:row>
    <x:row r="726" ht="23" customHeight="1">
      <x:c r="B726" s="12" t="str">
        <x:v>7874</x:v>
      </x:c>
      <x:c r="C726" s="6" t="str">
        <x:v>The Pond Rd / Ian Macdonald Blvd</x:v>
      </x:c>
      <x:c r="D726" s="6" t="n">
        <x:v>785</x:v>
      </x:c>
      <x:c r="E726" s="6" t="n">
        <x:v>785</x:v>
      </x:c>
      <x:c r="F726" s="6" t="n">
        <x:v>0</x:v>
      </x:c>
      <x:c r="G726" s="6" t="n">
        <x:v>11</x:v>
      </x:c>
      <x:c r="H726" s="6" t="n">
        <x:v>114</x:v>
      </x:c>
      <x:c r="I726" s="6" t="n">
        <x:v>10606</x:v>
      </x:c>
      <x:c r="J726" s="11" t="n">
        <x:f>E726/D726</x:f>
        <x:v>1</x:v>
      </x:c>
      <x:c r="K726" s="11" t="n">
        <x:f>F726/D726</x:f>
        <x:v>0</x:v>
      </x:c>
      <x:c r="L726" s="13" t="n">
        <x:f>I726/D726</x:f>
        <x:v>13.510828025477707</x:v>
      </x:c>
      <x:c r="M726" s="6" t="str">
        <x:v>Included</x:v>
      </x:c>
    </x:row>
    <x:row r="727" ht="23" customHeight="1">
      <x:c r="B727" s="12" t="str">
        <x:v>7875</x:v>
      </x:c>
      <x:c r="C727" s="6" t="str">
        <x:v>Oakdale Community Centre</x:v>
      </x:c>
      <x:c r="D727" s="6" t="n">
        <x:v>787</x:v>
      </x:c>
      <x:c r="E727" s="6" t="n">
        <x:v>614</x:v>
      </x:c>
      <x:c r="F727" s="6" t="n">
        <x:v>173</x:v>
      </x:c>
      <x:c r="G727" s="6" t="n">
        <x:v>11</x:v>
      </x:c>
      <x:c r="H727" s="6" t="n">
        <x:v>115</x:v>
      </x:c>
      <x:c r="I727" s="6" t="n">
        <x:v>6433</x:v>
      </x:c>
      <x:c r="J727" s="11" t="n">
        <x:f>E727/D727</x:f>
        <x:v>0.7801778907242694</x:v>
      </x:c>
      <x:c r="K727" s="11" t="n">
        <x:f>F727/D727</x:f>
        <x:v>0.21982210927573062</x:v>
      </x:c>
      <x:c r="L727" s="13" t="n">
        <x:f>I727/D727</x:f>
        <x:v>8.17407878017789</x:v>
      </x:c>
      <x:c r="M727" s="6" t="str">
        <x:v>Included</x:v>
      </x:c>
    </x:row>
    <x:row r="728" ht="23" customHeight="1">
      <x:c r="B728" s="12" t="str">
        <x:v>7877</x:v>
      </x:c>
      <x:c r="C728" s="6" t="str">
        <x:v>Jane St / Yorkwoods Gt</x:v>
      </x:c>
      <x:c r="D728" s="6" t="n">
        <x:v>791</x:v>
      </x:c>
      <x:c r="E728" s="6" t="n">
        <x:v>791</x:v>
      </x:c>
      <x:c r="F728" s="6" t="n">
        <x:v>0</x:v>
      </x:c>
      <x:c r="G728" s="6" t="n">
        <x:v>11</x:v>
      </x:c>
      <x:c r="H728" s="6" t="n">
        <x:v>115</x:v>
      </x:c>
      <x:c r="I728" s="6" t="n">
        <x:v>10009</x:v>
      </x:c>
      <x:c r="J728" s="11" t="n">
        <x:f>E728/D728</x:f>
        <x:v>1</x:v>
      </x:c>
      <x:c r="K728" s="11" t="n">
        <x:f>F728/D728</x:f>
        <x:v>0</x:v>
      </x:c>
      <x:c r="L728" s="13" t="n">
        <x:f>I728/D728</x:f>
        <x:v>12.653603034134008</x:v>
      </x:c>
      <x:c r="M728" s="6" t="str">
        <x:v>Included</x:v>
      </x:c>
    </x:row>
    <x:row r="729" ht="23" customHeight="1">
      <x:c r="B729" s="12" t="str">
        <x:v>7878</x:v>
      </x:c>
      <x:c r="C729" s="6" t="str">
        <x:v>Weston Rd / Sheppard Ave W</x:v>
      </x:c>
      <x:c r="D729" s="6" t="n">
        <x:v>788</x:v>
      </x:c>
      <x:c r="E729" s="6" t="n">
        <x:v>788</x:v>
      </x:c>
      <x:c r="F729" s="6" t="n">
        <x:v>0</x:v>
      </x:c>
      <x:c r="G729" s="6" t="n">
        <x:v>11</x:v>
      </x:c>
      <x:c r="H729" s="6" t="n">
        <x:v>115</x:v>
      </x:c>
      <x:c r="I729" s="6" t="n">
        <x:v>10818</x:v>
      </x:c>
      <x:c r="J729" s="11" t="n">
        <x:f>E729/D729</x:f>
        <x:v>1</x:v>
      </x:c>
      <x:c r="K729" s="11" t="n">
        <x:f>F729/D729</x:f>
        <x:v>0</x:v>
      </x:c>
      <x:c r="L729" s="13" t="n">
        <x:f>I729/D729</x:f>
        <x:v>13.728426395939087</x:v>
      </x:c>
      <x:c r="M729" s="6" t="str">
        <x:v>Included</x:v>
      </x:c>
    </x:row>
    <x:row r="730" ht="23" customHeight="1">
      <x:c r="B730" s="12" t="str">
        <x:v>7880</x:v>
      </x:c>
      <x:c r="C730" s="6" t="str">
        <x:v>Lindylou Rd / Lanyard Rd</x:v>
      </x:c>
      <x:c r="D730" s="6" t="n">
        <x:v>776</x:v>
      </x:c>
      <x:c r="E730" s="6" t="n">
        <x:v>776</x:v>
      </x:c>
      <x:c r="F730" s="6" t="n">
        <x:v>0</x:v>
      </x:c>
      <x:c r="G730" s="6" t="n">
        <x:v>11</x:v>
      </x:c>
      <x:c r="H730" s="6" t="n">
        <x:v>115</x:v>
      </x:c>
      <x:c r="I730" s="6" t="n">
        <x:v>9959</x:v>
      </x:c>
      <x:c r="J730" s="11" t="n">
        <x:f>E730/D730</x:f>
        <x:v>1</x:v>
      </x:c>
      <x:c r="K730" s="11" t="n">
        <x:f>F730/D730</x:f>
        <x:v>0</x:v>
      </x:c>
      <x:c r="L730" s="13" t="n">
        <x:f>I730/D730</x:f>
        <x:v>12.833762886597938</x:v>
      </x:c>
      <x:c r="M730" s="6" t="str">
        <x:v>Included</x:v>
      </x:c>
    </x:row>
    <x:row r="731" ht="23" customHeight="1">
      <x:c r="B731" s="12" t="str">
        <x:v>7883</x:v>
      </x:c>
      <x:c r="C731" s="6" t="str">
        <x:v>Wynford Heights Cres / Concorde Pl</x:v>
      </x:c>
      <x:c r="D731" s="6" t="n">
        <x:v>787</x:v>
      </x:c>
      <x:c r="E731" s="6" t="n">
        <x:v>787</x:v>
      </x:c>
      <x:c r="F731" s="6" t="n">
        <x:v>0</x:v>
      </x:c>
      <x:c r="G731" s="6" t="n">
        <x:v>11</x:v>
      </x:c>
      <x:c r="H731" s="6" t="n">
        <x:v>115</x:v>
      </x:c>
      <x:c r="I731" s="6" t="n">
        <x:v>7335</x:v>
      </x:c>
      <x:c r="J731" s="11" t="n">
        <x:f>E731/D731</x:f>
        <x:v>1</x:v>
      </x:c>
      <x:c r="K731" s="11" t="n">
        <x:f>F731/D731</x:f>
        <x:v>0</x:v>
      </x:c>
      <x:c r="L731" s="13" t="n">
        <x:f>I731/D731</x:f>
        <x:v>9.32020330368488</x:v>
      </x:c>
      <x:c r="M731" s="6" t="str">
        <x:v>Included</x:v>
      </x:c>
    </x:row>
    <x:row r="732" ht="23" customHeight="1">
      <x:c r="B732" s="12" t="str">
        <x:v>7884</x:v>
      </x:c>
      <x:c r="C732" s="6" t="str">
        <x:v>Bartley Park</x:v>
      </x:c>
      <x:c r="D732" s="6" t="n">
        <x:v>792</x:v>
      </x:c>
      <x:c r="E732" s="6" t="n">
        <x:v>792</x:v>
      </x:c>
      <x:c r="F732" s="6" t="n">
        <x:v>0</x:v>
      </x:c>
      <x:c r="G732" s="6" t="n">
        <x:v>11</x:v>
      </x:c>
      <x:c r="H732" s="6" t="n">
        <x:v>114</x:v>
      </x:c>
      <x:c r="I732" s="6" t="n">
        <x:v>11180</x:v>
      </x:c>
      <x:c r="J732" s="11" t="n">
        <x:f>E732/D732</x:f>
        <x:v>1</x:v>
      </x:c>
      <x:c r="K732" s="11" t="n">
        <x:f>F732/D732</x:f>
        <x:v>0</x:v>
      </x:c>
      <x:c r="L732" s="13" t="n">
        <x:f>I732/D732</x:f>
        <x:v>14.116161616161616</x:v>
      </x:c>
      <x:c r="M732" s="6" t="str">
        <x:v>Included</x:v>
      </x:c>
    </x:row>
    <x:row r="733" ht="23" customHeight="1">
      <x:c r="B733" s="12" t="str">
        <x:v>7885</x:v>
      </x:c>
      <x:c r="C733" s="6" t="str">
        <x:v>Brooklawn Ave / Kingston Rd</x:v>
      </x:c>
      <x:c r="D733" s="6" t="n">
        <x:v>792</x:v>
      </x:c>
      <x:c r="E733" s="6" t="n">
        <x:v>792</x:v>
      </x:c>
      <x:c r="F733" s="6" t="n">
        <x:v>0</x:v>
      </x:c>
      <x:c r="G733" s="6" t="n">
        <x:v>11</x:v>
      </x:c>
      <x:c r="H733" s="6" t="n">
        <x:v>115</x:v>
      </x:c>
      <x:c r="I733" s="6" t="n">
        <x:v>4044</x:v>
      </x:c>
      <x:c r="J733" s="11" t="n">
        <x:f>E733/D733</x:f>
        <x:v>1</x:v>
      </x:c>
      <x:c r="K733" s="11" t="n">
        <x:f>F733/D733</x:f>
        <x:v>0</x:v>
      </x:c>
      <x:c r="L733" s="13" t="n">
        <x:f>I733/D733</x:f>
        <x:v>5.106060606060606</x:v>
      </x:c>
      <x:c r="M733" s="6" t="str">
        <x:v>Included</x:v>
      </x:c>
    </x:row>
    <x:row r="734" ht="23" customHeight="1">
      <x:c r="B734" s="12" t="str">
        <x:v>7887</x:v>
      </x:c>
      <x:c r="C734" s="6" t="str">
        <x:v>800 Fleet St (North)</x:v>
      </x:c>
      <x:c r="D734" s="6" t="n">
        <x:v>802</x:v>
      </x:c>
      <x:c r="E734" s="6" t="n">
        <x:v>691</x:v>
      </x:c>
      <x:c r="F734" s="6" t="n">
        <x:v>111</x:v>
      </x:c>
      <x:c r="G734" s="6" t="n">
        <x:v>11</x:v>
      </x:c>
      <x:c r="H734" s="6" t="n">
        <x:v>114</x:v>
      </x:c>
      <x:c r="I734" s="6" t="n">
        <x:v>7301</x:v>
      </x:c>
      <x:c r="J734" s="11" t="n">
        <x:f>E734/D734</x:f>
        <x:v>0.8615960099750624</x:v>
      </x:c>
      <x:c r="K734" s="11" t="n">
        <x:f>F734/D734</x:f>
        <x:v>0.13840399002493767</x:v>
      </x:c>
      <x:c r="L734" s="13" t="n">
        <x:f>I734/D734</x:f>
        <x:v>9.103491271820449</x:v>
      </x:c>
      <x:c r="M734" s="6" t="str">
        <x:v>Included</x:v>
      </x:c>
    </x:row>
    <x:row r="735" ht="23" customHeight="1">
      <x:c r="B735" s="12" t="str">
        <x:v>7888</x:v>
      </x:c>
      <x:c r="C735" s="6" t="str">
        <x:v>The Kingsway / Ashley Rd</x:v>
      </x:c>
      <x:c r="D735" s="6" t="n">
        <x:v>786</x:v>
      </x:c>
      <x:c r="E735" s="6" t="n">
        <x:v>786</x:v>
      </x:c>
      <x:c r="F735" s="6" t="n">
        <x:v>0</x:v>
      </x:c>
      <x:c r="G735" s="6" t="n">
        <x:v>11</x:v>
      </x:c>
      <x:c r="H735" s="6" t="n">
        <x:v>114</x:v>
      </x:c>
      <x:c r="I735" s="6" t="n">
        <x:v>8861</x:v>
      </x:c>
      <x:c r="J735" s="11" t="n">
        <x:f>E735/D735</x:f>
        <x:v>1</x:v>
      </x:c>
      <x:c r="K735" s="11" t="n">
        <x:f>F735/D735</x:f>
        <x:v>0</x:v>
      </x:c>
      <x:c r="L735" s="13" t="n">
        <x:f>I735/D735</x:f>
        <x:v>11.273536895674301</x:v>
      </x:c>
      <x:c r="M735" s="6" t="str">
        <x:v>Included</x:v>
      </x:c>
    </x:row>
    <x:row r="736" ht="23" customHeight="1">
      <x:c r="B736" s="12" t="str">
        <x:v>7889</x:v>
      </x:c>
      <x:c r="C736" s="6" t="str">
        <x:v>Dundas St W / Prince Edward Dr N</x:v>
      </x:c>
      <x:c r="D736" s="6" t="n">
        <x:v>785</x:v>
      </x:c>
      <x:c r="E736" s="6" t="n">
        <x:v>736</x:v>
      </x:c>
      <x:c r="F736" s="6" t="n">
        <x:v>49</x:v>
      </x:c>
      <x:c r="G736" s="6" t="n">
        <x:v>11</x:v>
      </x:c>
      <x:c r="H736" s="6" t="n">
        <x:v>113</x:v>
      </x:c>
      <x:c r="I736" s="6" t="n">
        <x:v>6109</x:v>
      </x:c>
      <x:c r="J736" s="11" t="n">
        <x:f>E736/D736</x:f>
        <x:v>0.9375796178343949</x:v>
      </x:c>
      <x:c r="K736" s="11" t="n">
        <x:f>F736/D736</x:f>
        <x:v>0.062420382165605096</x:v>
      </x:c>
      <x:c r="L736" s="13" t="n">
        <x:f>I736/D736</x:f>
        <x:v>7.782165605095542</x:v>
      </x:c>
      <x:c r="M736" s="6" t="str">
        <x:v>Included</x:v>
      </x:c>
    </x:row>
    <x:row r="737" ht="23" customHeight="1">
      <x:c r="B737" s="12" t="str">
        <x:v>7890</x:v>
      </x:c>
      <x:c r="C737" s="6" t="str">
        <x:v>60 Broadway Ave</x:v>
      </x:c>
      <x:c r="D737" s="6" t="n">
        <x:v>788</x:v>
      </x:c>
      <x:c r="E737" s="6" t="n">
        <x:v>788</x:v>
      </x:c>
      <x:c r="F737" s="6" t="n">
        <x:v>0</x:v>
      </x:c>
      <x:c r="G737" s="6" t="n">
        <x:v>11</x:v>
      </x:c>
      <x:c r="H737" s="6" t="n">
        <x:v>115</x:v>
      </x:c>
      <x:c r="I737" s="6" t="n">
        <x:v>12597</x:v>
      </x:c>
      <x:c r="J737" s="11" t="n">
        <x:f>E737/D737</x:f>
        <x:v>1</x:v>
      </x:c>
      <x:c r="K737" s="11" t="n">
        <x:f>F737/D737</x:f>
        <x:v>0</x:v>
      </x:c>
      <x:c r="L737" s="13" t="n">
        <x:f>I737/D737</x:f>
        <x:v>15.986040609137056</x:v>
      </x:c>
      <x:c r="M737" s="6" t="str">
        <x:v>Included</x:v>
      </x:c>
    </x:row>
    <x:row r="738" ht="23" customHeight="1">
      <x:c r="B738" s="12" t="str">
        <x:v>7891</x:v>
      </x:c>
      <x:c r="C738" s="6" t="str">
        <x:v>Opposite 1103 Leslie St</x:v>
      </x:c>
      <x:c r="D738" s="6" t="n">
        <x:v>792</x:v>
      </x:c>
      <x:c r="E738" s="6" t="n">
        <x:v>792</x:v>
      </x:c>
      <x:c r="F738" s="6" t="n">
        <x:v>0</x:v>
      </x:c>
      <x:c r="G738" s="6" t="n">
        <x:v>11</x:v>
      </x:c>
      <x:c r="H738" s="6" t="n">
        <x:v>115</x:v>
      </x:c>
      <x:c r="I738" s="6" t="n">
        <x:v>13951</x:v>
      </x:c>
      <x:c r="J738" s="11" t="n">
        <x:f>E738/D738</x:f>
        <x:v>1</x:v>
      </x:c>
      <x:c r="K738" s="11" t="n">
        <x:f>F738/D738</x:f>
        <x:v>0</x:v>
      </x:c>
      <x:c r="L738" s="13" t="n">
        <x:f>I738/D738</x:f>
        <x:v>17.61489898989899</x:v>
      </x:c>
      <x:c r="M738" s="6" t="str">
        <x:v>Included</x:v>
      </x:c>
    </x:row>
    <x:row r="739" ht="23" customHeight="1">
      <x:c r="B739" s="12" t="str">
        <x:v>7893</x:v>
      </x:c>
      <x:c r="C739" s="6" t="str">
        <x:v>Overlea Blvd / Thorncliffe Park Dr</x:v>
      </x:c>
      <x:c r="D739" s="6" t="n">
        <x:v>792</x:v>
      </x:c>
      <x:c r="E739" s="6" t="n">
        <x:v>792</x:v>
      </x:c>
      <x:c r="F739" s="6" t="n">
        <x:v>0</x:v>
      </x:c>
      <x:c r="G739" s="6" t="n">
        <x:v>11</x:v>
      </x:c>
      <x:c r="H739" s="6" t="n">
        <x:v>115</x:v>
      </x:c>
      <x:c r="I739" s="6" t="n">
        <x:v>13559</x:v>
      </x:c>
      <x:c r="J739" s="11" t="n">
        <x:f>E739/D739</x:f>
        <x:v>1</x:v>
      </x:c>
      <x:c r="K739" s="11" t="n">
        <x:f>F739/D739</x:f>
        <x:v>0</x:v>
      </x:c>
      <x:c r="L739" s="13" t="n">
        <x:f>I739/D739</x:f>
        <x:v>17.119949494949495</x:v>
      </x:c>
      <x:c r="M739" s="6" t="str">
        <x:v>Included</x:v>
      </x:c>
    </x:row>
    <x:row r="740" ht="23" customHeight="1">
      <x:c r="B740" s="12" t="str">
        <x:v>7894</x:v>
      </x:c>
      <x:c r="C740" s="6" t="str">
        <x:v>Millwood Rd / Southvale Dr</x:v>
      </x:c>
      <x:c r="D740" s="6" t="n">
        <x:v>786</x:v>
      </x:c>
      <x:c r="E740" s="6" t="n">
        <x:v>786</x:v>
      </x:c>
      <x:c r="F740" s="6" t="n">
        <x:v>0</x:v>
      </x:c>
      <x:c r="G740" s="6" t="n">
        <x:v>11</x:v>
      </x:c>
      <x:c r="H740" s="6" t="n">
        <x:v>116</x:v>
      </x:c>
      <x:c r="I740" s="6" t="n">
        <x:v>9761</x:v>
      </x:c>
      <x:c r="J740" s="11" t="n">
        <x:f>E740/D740</x:f>
        <x:v>1</x:v>
      </x:c>
      <x:c r="K740" s="11" t="n">
        <x:f>F740/D740</x:f>
        <x:v>0</x:v>
      </x:c>
      <x:c r="L740" s="13" t="n">
        <x:f>I740/D740</x:f>
        <x:v>12.41857506361323</x:v>
      </x:c>
      <x:c r="M740" s="6" t="str">
        <x:v>Included</x:v>
      </x:c>
    </x:row>
    <x:row r="741" ht="23" customHeight="1">
      <x:c r="B741" s="12" t="str">
        <x:v>7895</x:v>
      </x:c>
      <x:c r="C741" s="6" t="str">
        <x:v>Keele St / Lloyd Ave</x:v>
      </x:c>
      <x:c r="D741" s="6" t="n">
        <x:v>792</x:v>
      </x:c>
      <x:c r="E741" s="6" t="n">
        <x:v>792</x:v>
      </x:c>
      <x:c r="F741" s="6" t="n">
        <x:v>0</x:v>
      </x:c>
      <x:c r="G741" s="6" t="n">
        <x:v>11</x:v>
      </x:c>
      <x:c r="H741" s="6" t="n">
        <x:v>115</x:v>
      </x:c>
      <x:c r="I741" s="6" t="n">
        <x:v>10654</x:v>
      </x:c>
      <x:c r="J741" s="11" t="n">
        <x:f>E741/D741</x:f>
        <x:v>1</x:v>
      </x:c>
      <x:c r="K741" s="11" t="n">
        <x:f>F741/D741</x:f>
        <x:v>0</x:v>
      </x:c>
      <x:c r="L741" s="13" t="n">
        <x:f>I741/D741</x:f>
        <x:v>13.452020202020202</x:v>
      </x:c>
      <x:c r="M741" s="6" t="str">
        <x:v>Included</x:v>
      </x:c>
    </x:row>
    <x:row r="742" ht="23" customHeight="1">
      <x:c r="B742" s="12" t="str">
        <x:v>7896</x:v>
      </x:c>
      <x:c r="C742" s="6" t="str">
        <x:v>Arlington Parkette</x:v>
      </x:c>
      <x:c r="D742" s="6" t="n">
        <x:v>785</x:v>
      </x:c>
      <x:c r="E742" s="6" t="n">
        <x:v>785</x:v>
      </x:c>
      <x:c r="F742" s="6" t="n">
        <x:v>0</x:v>
      </x:c>
      <x:c r="G742" s="6" t="n">
        <x:v>11</x:v>
      </x:c>
      <x:c r="H742" s="6" t="n">
        <x:v>115</x:v>
      </x:c>
      <x:c r="I742" s="6" t="n">
        <x:v>9975</x:v>
      </x:c>
      <x:c r="J742" s="11" t="n">
        <x:f>E742/D742</x:f>
        <x:v>1</x:v>
      </x:c>
      <x:c r="K742" s="11" t="n">
        <x:f>F742/D742</x:f>
        <x:v>0</x:v>
      </x:c>
      <x:c r="L742" s="13" t="n">
        <x:f>I742/D742</x:f>
        <x:v>12.707006369426752</x:v>
      </x:c>
      <x:c r="M742" s="6" t="str">
        <x:v>Included</x:v>
      </x:c>
    </x:row>
    <x:row r="743" ht="23" customHeight="1">
      <x:c r="B743" s="12" t="str">
        <x:v>7897</x:v>
      </x:c>
      <x:c r="C743" s="6" t="str">
        <x:v>50 Overlea Blvd</x:v>
      </x:c>
      <x:c r="D743" s="6" t="n">
        <x:v>786</x:v>
      </x:c>
      <x:c r="E743" s="6" t="n">
        <x:v>786</x:v>
      </x:c>
      <x:c r="F743" s="6" t="n">
        <x:v>0</x:v>
      </x:c>
      <x:c r="G743" s="6" t="n">
        <x:v>11</x:v>
      </x:c>
      <x:c r="H743" s="6" t="n">
        <x:v>114</x:v>
      </x:c>
      <x:c r="I743" s="6" t="n">
        <x:v>9534</x:v>
      </x:c>
      <x:c r="J743" s="11" t="n">
        <x:f>E743/D743</x:f>
        <x:v>1</x:v>
      </x:c>
      <x:c r="K743" s="11" t="n">
        <x:f>F743/D743</x:f>
        <x:v>0</x:v>
      </x:c>
      <x:c r="L743" s="13" t="n">
        <x:f>I743/D743</x:f>
        <x:v>12.129770992366412</x:v>
      </x:c>
      <x:c r="M743" s="6" t="str">
        <x:v>Included</x:v>
      </x:c>
    </x:row>
    <x:row r="744" ht="23" customHeight="1">
      <x:c r="B744" s="12" t="str">
        <x:v>7899</x:v>
      </x:c>
      <x:c r="C744" s="6" t="str">
        <x:v>Queens Park Cres / College St</x:v>
      </x:c>
      <x:c r="D744" s="6" t="n">
        <x:v>790</x:v>
      </x:c>
      <x:c r="E744" s="6" t="n">
        <x:v>769</x:v>
      </x:c>
      <x:c r="F744" s="6" t="n">
        <x:v>21</x:v>
      </x:c>
      <x:c r="G744" s="6" t="n">
        <x:v>11</x:v>
      </x:c>
      <x:c r="H744" s="6" t="n">
        <x:v>114</x:v>
      </x:c>
      <x:c r="I744" s="6" t="n">
        <x:v>13328</x:v>
      </x:c>
      <x:c r="J744" s="11" t="n">
        <x:f>E744/D744</x:f>
        <x:v>0.9734177215189873</x:v>
      </x:c>
      <x:c r="K744" s="11" t="n">
        <x:f>F744/D744</x:f>
        <x:v>0.026582278481012658</x:v>
      </x:c>
      <x:c r="L744" s="13" t="n">
        <x:f>I744/D744</x:f>
        <x:v>16.870886075949368</x:v>
      </x:c>
      <x:c r="M744" s="6" t="str">
        <x:v>Included</x:v>
      </x:c>
    </x:row>
    <x:row r="745" ht="23" customHeight="1">
      <x:c r="B745" s="12" t="str">
        <x:v>7900</x:v>
      </x:c>
      <x:c r="C745" s="6" t="str">
        <x:v>Simcoe St / Elm St</x:v>
      </x:c>
      <x:c r="D745" s="6" t="n">
        <x:v>783</x:v>
      </x:c>
      <x:c r="E745" s="6" t="n">
        <x:v>679</x:v>
      </x:c>
      <x:c r="F745" s="6" t="n">
        <x:v>104</x:v>
      </x:c>
      <x:c r="G745" s="6" t="n">
        <x:v>11</x:v>
      </x:c>
      <x:c r="H745" s="6" t="n">
        <x:v>114</x:v>
      </x:c>
      <x:c r="I745" s="6" t="n">
        <x:v>4618</x:v>
      </x:c>
      <x:c r="J745" s="11" t="n">
        <x:f>E745/D745</x:f>
        <x:v>0.8671775223499362</x:v>
      </x:c>
      <x:c r="K745" s="11" t="n">
        <x:f>F745/D745</x:f>
        <x:v>0.13282247765006386</x:v>
      </x:c>
      <x:c r="L745" s="13" t="n">
        <x:f>I745/D745</x:f>
        <x:v>5.8978288633461045</x:v>
      </x:c>
      <x:c r="M745" s="6" t="str">
        <x:v>Included</x:v>
      </x:c>
    </x:row>
    <x:row r="746" ht="23" customHeight="1">
      <x:c r="B746" s="12" t="str">
        <x:v>7901</x:v>
      </x:c>
      <x:c r="C746" s="6" t="str">
        <x:v>Bloor St W / Kingsmill Rd</x:v>
      </x:c>
      <x:c r="D746" s="6" t="n">
        <x:v>786</x:v>
      </x:c>
      <x:c r="E746" s="6" t="n">
        <x:v>786</x:v>
      </x:c>
      <x:c r="F746" s="6" t="n">
        <x:v>0</x:v>
      </x:c>
      <x:c r="G746" s="6" t="n">
        <x:v>11</x:v>
      </x:c>
      <x:c r="H746" s="6" t="n">
        <x:v>114</x:v>
      </x:c>
      <x:c r="I746" s="6" t="n">
        <x:v>5393</x:v>
      </x:c>
      <x:c r="J746" s="11" t="n">
        <x:f>E746/D746</x:f>
        <x:v>1</x:v>
      </x:c>
      <x:c r="K746" s="11" t="n">
        <x:f>F746/D746</x:f>
        <x:v>0</x:v>
      </x:c>
      <x:c r="L746" s="13" t="n">
        <x:f>I746/D746</x:f>
        <x:v>6.861323155216285</x:v>
      </x:c>
      <x:c r="M746" s="6" t="str">
        <x:v>Included</x:v>
      </x:c>
    </x:row>
    <x:row r="747" ht="23" customHeight="1">
      <x:c r="B747" s="12" t="str">
        <x:v>7902</x:v>
      </x:c>
      <x:c r="C747" s="6" t="str">
        <x:v>Gunns Rd / Lavender Creek Trail</x:v>
      </x:c>
      <x:c r="D747" s="6" t="n">
        <x:v>788</x:v>
      </x:c>
      <x:c r="E747" s="6" t="n">
        <x:v>788</x:v>
      </x:c>
      <x:c r="F747" s="6" t="n">
        <x:v>0</x:v>
      </x:c>
      <x:c r="G747" s="6" t="n">
        <x:v>11</x:v>
      </x:c>
      <x:c r="H747" s="6" t="n">
        <x:v>114</x:v>
      </x:c>
      <x:c r="I747" s="6" t="n">
        <x:v>10382</x:v>
      </x:c>
      <x:c r="J747" s="11" t="n">
        <x:f>E747/D747</x:f>
        <x:v>1</x:v>
      </x:c>
      <x:c r="K747" s="11" t="n">
        <x:f>F747/D747</x:f>
        <x:v>0</x:v>
      </x:c>
      <x:c r="L747" s="13" t="n">
        <x:f>I747/D747</x:f>
        <x:v>13.1751269035533</x:v>
      </x:c>
      <x:c r="M747" s="6" t="str">
        <x:v>Included</x:v>
      </x:c>
    </x:row>
    <x:row r="748" ht="23" customHeight="1">
      <x:c r="B748" s="12" t="str">
        <x:v>7903</x:v>
      </x:c>
      <x:c r="C748" s="6" t="str">
        <x:v>St. Clair Ave W / Symes Rd</x:v>
      </x:c>
      <x:c r="D748" s="6" t="n">
        <x:v>793</x:v>
      </x:c>
      <x:c r="E748" s="6" t="n">
        <x:v>793</x:v>
      </x:c>
      <x:c r="F748" s="6" t="n">
        <x:v>0</x:v>
      </x:c>
      <x:c r="G748" s="6" t="n">
        <x:v>11</x:v>
      </x:c>
      <x:c r="H748" s="6" t="n">
        <x:v>115</x:v>
      </x:c>
      <x:c r="I748" s="6" t="n">
        <x:v>8505</x:v>
      </x:c>
      <x:c r="J748" s="11" t="n">
        <x:f>E748/D748</x:f>
        <x:v>1</x:v>
      </x:c>
      <x:c r="K748" s="11" t="n">
        <x:f>F748/D748</x:f>
        <x:v>0</x:v>
      </x:c>
      <x:c r="L748" s="13" t="n">
        <x:f>I748/D748</x:f>
        <x:v>10.725094577553595</x:v>
      </x:c>
      <x:c r="M748" s="6" t="str">
        <x:v>Included</x:v>
      </x:c>
    </x:row>
    <x:row r="749" ht="23" customHeight="1">
      <x:c r="B749" s="12" t="str">
        <x:v>7904</x:v>
      </x:c>
      <x:c r="C749" s="6" t="str">
        <x:v>Palmerston Blvd / Lennox St</x:v>
      </x:c>
      <x:c r="D749" s="6" t="n">
        <x:v>789</x:v>
      </x:c>
      <x:c r="E749" s="6" t="n">
        <x:v>789</x:v>
      </x:c>
      <x:c r="F749" s="6" t="n">
        <x:v>0</x:v>
      </x:c>
      <x:c r="G749" s="6" t="n">
        <x:v>11</x:v>
      </x:c>
      <x:c r="H749" s="6" t="n">
        <x:v>115</x:v>
      </x:c>
      <x:c r="I749" s="6" t="n">
        <x:v>6070</x:v>
      </x:c>
      <x:c r="J749" s="11" t="n">
        <x:f>E749/D749</x:f>
        <x:v>1</x:v>
      </x:c>
      <x:c r="K749" s="11" t="n">
        <x:f>F749/D749</x:f>
        <x:v>0</x:v>
      </x:c>
      <x:c r="L749" s="13" t="n">
        <x:f>I749/D749</x:f>
        <x:v>7.693282636248416</x:v>
      </x:c>
      <x:c r="M749" s="6" t="str">
        <x:v>Included</x:v>
      </x:c>
    </x:row>
    <x:row r="750" ht="23" customHeight="1">
      <x:c r="B750" s="12" t="str">
        <x:v>7906</x:v>
      </x:c>
      <x:c r="C750" s="6" t="str">
        <x:v>Princess St / Front St E</x:v>
      </x:c>
      <x:c r="D750" s="6" t="n">
        <x:v>791</x:v>
      </x:c>
      <x:c r="E750" s="6" t="n">
        <x:v>628</x:v>
      </x:c>
      <x:c r="F750" s="6" t="n">
        <x:v>163</x:v>
      </x:c>
      <x:c r="G750" s="6" t="n">
        <x:v>11</x:v>
      </x:c>
      <x:c r="H750" s="6" t="n">
        <x:v>115</x:v>
      </x:c>
      <x:c r="I750" s="6" t="n">
        <x:v>4263</x:v>
      </x:c>
      <x:c r="J750" s="11" t="n">
        <x:f>E750/D750</x:f>
        <x:v>0.7939317319848294</x:v>
      </x:c>
      <x:c r="K750" s="11" t="n">
        <x:f>F750/D750</x:f>
        <x:v>0.20606826801517067</x:v>
      </x:c>
      <x:c r="L750" s="13" t="n">
        <x:f>I750/D750</x:f>
        <x:v>5.389380530973451</x:v>
      </x:c>
      <x:c r="M750" s="6" t="str">
        <x:v>Included</x:v>
      </x:c>
    </x:row>
    <x:row r="751" ht="23" customHeight="1">
      <x:c r="B751" s="12" t="str">
        <x:v>7907</x:v>
      </x:c>
      <x:c r="C751" s="6" t="str">
        <x:v>365 Lippincott St</x:v>
      </x:c>
      <x:c r="D751" s="6" t="n">
        <x:v>785</x:v>
      </x:c>
      <x:c r="E751" s="6" t="n">
        <x:v>757</x:v>
      </x:c>
      <x:c r="F751" s="6" t="n">
        <x:v>28</x:v>
      </x:c>
      <x:c r="G751" s="6" t="n">
        <x:v>11</x:v>
      </x:c>
      <x:c r="H751" s="6" t="n">
        <x:v>115</x:v>
      </x:c>
      <x:c r="I751" s="6" t="n">
        <x:v>10395</x:v>
      </x:c>
      <x:c r="J751" s="11" t="n">
        <x:f>E751/D751</x:f>
        <x:v>0.9643312101910828</x:v>
      </x:c>
      <x:c r="K751" s="11" t="n">
        <x:f>F751/D751</x:f>
        <x:v>0.035668789808917196</x:v>
      </x:c>
      <x:c r="L751" s="13" t="n">
        <x:f>I751/D751</x:f>
        <x:v>13.242038216560509</x:v>
      </x:c>
      <x:c r="M751" s="6" t="str">
        <x:v>Included</x:v>
      </x:c>
    </x:row>
    <x:row r="752" ht="23" customHeight="1">
      <x:c r="B752" s="12" t="str">
        <x:v>7909</x:v>
      </x:c>
      <x:c r="C752" s="6" t="str">
        <x:v>E.T Seton Park - South</x:v>
      </x:c>
      <x:c r="D752" s="6" t="n">
        <x:v>787</x:v>
      </x:c>
      <x:c r="E752" s="6" t="n">
        <x:v>787</x:v>
      </x:c>
      <x:c r="F752" s="6" t="n">
        <x:v>0</x:v>
      </x:c>
      <x:c r="G752" s="6" t="n">
        <x:v>11</x:v>
      </x:c>
      <x:c r="H752" s="6" t="n">
        <x:v>115</x:v>
      </x:c>
      <x:c r="I752" s="6" t="n">
        <x:v>13790</x:v>
      </x:c>
      <x:c r="J752" s="11" t="n">
        <x:f>E752/D752</x:f>
        <x:v>1</x:v>
      </x:c>
      <x:c r="K752" s="11" t="n">
        <x:f>F752/D752</x:f>
        <x:v>0</x:v>
      </x:c>
      <x:c r="L752" s="13" t="n">
        <x:f>I752/D752</x:f>
        <x:v>17.522236340533674</x:v>
      </x:c>
      <x:c r="M752" s="6" t="str">
        <x:v>Included</x:v>
      </x:c>
    </x:row>
    <x:row r="753" ht="23" customHeight="1">
      <x:c r="B753" s="12" t="str">
        <x:v>7910</x:v>
      </x:c>
      <x:c r="C753" s="6" t="str">
        <x:v>Eglinton Ave E / Brentcliffe Rd</x:v>
      </x:c>
      <x:c r="D753" s="6" t="n">
        <x:v>791</x:v>
      </x:c>
      <x:c r="E753" s="6" t="n">
        <x:v>791</x:v>
      </x:c>
      <x:c r="F753" s="6" t="n">
        <x:v>0</x:v>
      </x:c>
      <x:c r="G753" s="6" t="n">
        <x:v>11</x:v>
      </x:c>
      <x:c r="H753" s="6" t="n">
        <x:v>115</x:v>
      </x:c>
      <x:c r="I753" s="6" t="n">
        <x:v>10759</x:v>
      </x:c>
      <x:c r="J753" s="11" t="n">
        <x:f>E753/D753</x:f>
        <x:v>1</x:v>
      </x:c>
      <x:c r="K753" s="11" t="n">
        <x:f>F753/D753</x:f>
        <x:v>0</x:v>
      </x:c>
      <x:c r="L753" s="13" t="n">
        <x:f>I753/D753</x:f>
        <x:v>13.601769911504425</x:v>
      </x:c>
      <x:c r="M753" s="6" t="str">
        <x:v>Included</x:v>
      </x:c>
    </x:row>
    <x:row r="754" ht="23" customHeight="1">
      <x:c r="B754" s="12" t="str">
        <x:v>7911</x:v>
      </x:c>
      <x:c r="C754" s="6" t="str">
        <x:v>King St W / York St (2)</x:v>
      </x:c>
      <x:c r="D754" s="6" t="n">
        <x:v>778</x:v>
      </x:c>
      <x:c r="E754" s="6" t="n">
        <x:v>695</x:v>
      </x:c>
      <x:c r="F754" s="6" t="n">
        <x:v>83</x:v>
      </x:c>
      <x:c r="G754" s="6" t="n">
        <x:v>11</x:v>
      </x:c>
      <x:c r="H754" s="6" t="n">
        <x:v>115</x:v>
      </x:c>
      <x:c r="I754" s="6" t="n">
        <x:v>7726</x:v>
      </x:c>
      <x:c r="J754" s="11" t="n">
        <x:f>E754/D754</x:f>
        <x:v>0.8933161953727506</x:v>
      </x:c>
      <x:c r="K754" s="11" t="n">
        <x:f>F754/D754</x:f>
        <x:v>0.10668380462724936</x:v>
      </x:c>
      <x:c r="L754" s="13" t="n">
        <x:f>I754/D754</x:f>
        <x:v>9.930591259640103</x:v>
      </x:c>
      <x:c r="M754" s="6" t="str">
        <x:v>Included</x:v>
      </x:c>
    </x:row>
    <x:row r="755" ht="23" customHeight="1">
      <x:c r="B755" s="12" t="str">
        <x:v>7912</x:v>
      </x:c>
      <x:c r="C755" s="6" t="str">
        <x:v>Joe Shuster Way / King St W</x:v>
      </x:c>
      <x:c r="D755" s="6" t="n">
        <x:v>793</x:v>
      </x:c>
      <x:c r="E755" s="6" t="n">
        <x:v>599</x:v>
      </x:c>
      <x:c r="F755" s="6" t="n">
        <x:v>194</x:v>
      </x:c>
      <x:c r="G755" s="6" t="n">
        <x:v>11</x:v>
      </x:c>
      <x:c r="H755" s="6" t="n">
        <x:v>115</x:v>
      </x:c>
      <x:c r="I755" s="6" t="n">
        <x:v>5222</x:v>
      </x:c>
      <x:c r="J755" s="11" t="n">
        <x:f>E755/D755</x:f>
        <x:v>0.755359394703657</x:v>
      </x:c>
      <x:c r="K755" s="11" t="n">
        <x:f>F755/D755</x:f>
        <x:v>0.244640605296343</x:v>
      </x:c>
      <x:c r="L755" s="13" t="n">
        <x:f>I755/D755</x:f>
        <x:v>6.585119798234552</x:v>
      </x:c>
      <x:c r="M755" s="6" t="str">
        <x:v>Included</x:v>
      </x:c>
    </x:row>
    <x:row r="756" ht="23" customHeight="1">
      <x:c r="B756" s="12" t="str">
        <x:v>7913</x:v>
      </x:c>
      <x:c r="C756" s="6" t="str">
        <x:v>St. George St / Willcocks St</x:v>
      </x:c>
      <x:c r="D756" s="6" t="n">
        <x:v>787</x:v>
      </x:c>
      <x:c r="E756" s="6" t="n">
        <x:v>785</x:v>
      </x:c>
      <x:c r="F756" s="6" t="n">
        <x:v>2</x:v>
      </x:c>
      <x:c r="G756" s="6" t="n">
        <x:v>11</x:v>
      </x:c>
      <x:c r="H756" s="6" t="n">
        <x:v>114</x:v>
      </x:c>
      <x:c r="I756" s="6" t="n">
        <x:v>16764</x:v>
      </x:c>
      <x:c r="J756" s="11" t="n">
        <x:f>E756/D756</x:f>
        <x:v>0.9974587039390089</x:v>
      </x:c>
      <x:c r="K756" s="11" t="n">
        <x:f>F756/D756</x:f>
        <x:v>0.0025412960609911056</x:v>
      </x:c>
      <x:c r="L756" s="13" t="n">
        <x:f>I756/D756</x:f>
        <x:v>21.301143583227446</x:v>
      </x:c>
      <x:c r="M756" s="6" t="str">
        <x:v>Included</x:v>
      </x:c>
    </x:row>
    <x:row r="757" ht="23" customHeight="1">
      <x:c r="B757" s="12" t="str">
        <x:v>7914</x:v>
      </x:c>
      <x:c r="C757" s="6" t="str">
        <x:v>York St / Wellington St W (2)</x:v>
      </x:c>
      <x:c r="D757" s="6" t="n">
        <x:v>792</x:v>
      </x:c>
      <x:c r="E757" s="6" t="n">
        <x:v>750</x:v>
      </x:c>
      <x:c r="F757" s="6" t="n">
        <x:v>42</x:v>
      </x:c>
      <x:c r="G757" s="6" t="n">
        <x:v>11</x:v>
      </x:c>
      <x:c r="H757" s="6" t="n">
        <x:v>114</x:v>
      </x:c>
      <x:c r="I757" s="6" t="n">
        <x:v>12704</x:v>
      </x:c>
      <x:c r="J757" s="11" t="n">
        <x:f>E757/D757</x:f>
        <x:v>0.946969696969697</x:v>
      </x:c>
      <x:c r="K757" s="11" t="n">
        <x:f>F757/D757</x:f>
        <x:v>0.05303030303030303</x:v>
      </x:c>
      <x:c r="L757" s="13" t="n">
        <x:f>I757/D757</x:f>
        <x:v>16.04040404040404</x:v>
      </x:c>
      <x:c r="M757" s="6" t="str">
        <x:v>Included</x:v>
      </x:c>
    </x:row>
    <x:row r="758" ht="23" customHeight="1">
      <x:c r="B758" s="12" t="str">
        <x:v>7915</x:v>
      </x:c>
      <x:c r="C758" s="6" t="str">
        <x:v>Rogers Rd / Watt Ave</x:v>
      </x:c>
      <x:c r="D758" s="6" t="n">
        <x:v>784</x:v>
      </x:c>
      <x:c r="E758" s="6" t="n">
        <x:v>784</x:v>
      </x:c>
      <x:c r="F758" s="6" t="n">
        <x:v>0</x:v>
      </x:c>
      <x:c r="G758" s="6" t="n">
        <x:v>11</x:v>
      </x:c>
      <x:c r="H758" s="6" t="n">
        <x:v>115</x:v>
      </x:c>
      <x:c r="I758" s="6" t="n">
        <x:v>8092</x:v>
      </x:c>
      <x:c r="J758" s="11" t="n">
        <x:f>E758/D758</x:f>
        <x:v>1</x:v>
      </x:c>
      <x:c r="K758" s="11" t="n">
        <x:f>F758/D758</x:f>
        <x:v>0</x:v>
      </x:c>
      <x:c r="L758" s="13" t="n">
        <x:f>I758/D758</x:f>
        <x:v>10.321428571428571</x:v>
      </x:c>
      <x:c r="M758" s="6" t="str">
        <x:v>Included</x:v>
      </x:c>
    </x:row>
    <x:row r="759" ht="23" customHeight="1">
      <x:c r="B759" s="12" t="str">
        <x:v>7916</x:v>
      </x:c>
      <x:c r="C759" s="6" t="str">
        <x:v>University Ave / Pearl St</x:v>
      </x:c>
      <x:c r="D759" s="6" t="n">
        <x:v>786</x:v>
      </x:c>
      <x:c r="E759" s="6" t="n">
        <x:v>786</x:v>
      </x:c>
      <x:c r="F759" s="6" t="n">
        <x:v>0</x:v>
      </x:c>
      <x:c r="G759" s="6" t="n">
        <x:v>11</x:v>
      </x:c>
      <x:c r="H759" s="6" t="n">
        <x:v>114</x:v>
      </x:c>
      <x:c r="I759" s="6" t="n">
        <x:v>6221</x:v>
      </x:c>
      <x:c r="J759" s="11" t="n">
        <x:f>E759/D759</x:f>
        <x:v>1</x:v>
      </x:c>
      <x:c r="K759" s="11" t="n">
        <x:f>F759/D759</x:f>
        <x:v>0</x:v>
      </x:c>
      <x:c r="L759" s="13" t="n">
        <x:f>I759/D759</x:f>
        <x:v>7.914758269720102</x:v>
      </x:c>
      <x:c r="M759" s="6" t="str">
        <x:v>Included</x:v>
      </x:c>
    </x:row>
    <x:row r="760" ht="23" customHeight="1">
      <x:c r="B760" s="12" t="str">
        <x:v>7917</x:v>
      </x:c>
      <x:c r="C760" s="6" t="str">
        <x:v>King St W / University Ave</x:v>
      </x:c>
      <x:c r="D760" s="6" t="n">
        <x:v>792</x:v>
      </x:c>
      <x:c r="E760" s="6" t="n">
        <x:v>717</x:v>
      </x:c>
      <x:c r="F760" s="6" t="n">
        <x:v>75</x:v>
      </x:c>
      <x:c r="G760" s="6" t="n">
        <x:v>11</x:v>
      </x:c>
      <x:c r="H760" s="6" t="n">
        <x:v>115</x:v>
      </x:c>
      <x:c r="I760" s="6" t="n">
        <x:v>15929</x:v>
      </x:c>
      <x:c r="J760" s="11" t="n">
        <x:f>E760/D760</x:f>
        <x:v>0.9053030303030303</x:v>
      </x:c>
      <x:c r="K760" s="11" t="n">
        <x:f>F760/D760</x:f>
        <x:v>0.0946969696969697</x:v>
      </x:c>
      <x:c r="L760" s="13" t="n">
        <x:f>I760/D760</x:f>
        <x:v>20.112373737373737</x:v>
      </x:c>
      <x:c r="M760" s="6" t="str">
        <x:v>Included</x:v>
      </x:c>
    </x:row>
    <x:row r="761" ht="23" customHeight="1">
      <x:c r="B761" s="12" t="str">
        <x:v>7918</x:v>
      </x:c>
      <x:c r="C761" s="6" t="str">
        <x:v>Albion Rd / Arcot Blvd</x:v>
      </x:c>
      <x:c r="D761" s="6" t="n">
        <x:v>784</x:v>
      </x:c>
      <x:c r="E761" s="6" t="n">
        <x:v>784</x:v>
      </x:c>
      <x:c r="F761" s="6" t="n">
        <x:v>0</x:v>
      </x:c>
      <x:c r="G761" s="6" t="n">
        <x:v>11</x:v>
      </x:c>
      <x:c r="H761" s="6" t="n">
        <x:v>114</x:v>
      </x:c>
      <x:c r="I761" s="6" t="n">
        <x:v>7741</x:v>
      </x:c>
      <x:c r="J761" s="11" t="n">
        <x:f>E761/D761</x:f>
        <x:v>1</x:v>
      </x:c>
      <x:c r="K761" s="11" t="n">
        <x:f>F761/D761</x:f>
        <x:v>0</x:v>
      </x:c>
      <x:c r="L761" s="13" t="n">
        <x:f>I761/D761</x:f>
        <x:v>9.873724489795919</x:v>
      </x:c>
      <x:c r="M761" s="6" t="str">
        <x:v>Included</x:v>
      </x:c>
    </x:row>
    <x:row r="762" ht="23" customHeight="1">
      <x:c r="B762" s="12" t="str">
        <x:v>7919</x:v>
      </x:c>
      <x:c r="C762" s="6" t="str">
        <x:v>Armel Ct / Albion Rd</x:v>
      </x:c>
      <x:c r="D762" s="6" t="n">
        <x:v>788</x:v>
      </x:c>
      <x:c r="E762" s="6" t="n">
        <x:v>788</x:v>
      </x:c>
      <x:c r="F762" s="6" t="n">
        <x:v>0</x:v>
      </x:c>
      <x:c r="G762" s="6" t="n">
        <x:v>11</x:v>
      </x:c>
      <x:c r="H762" s="6" t="n">
        <x:v>115</x:v>
      </x:c>
      <x:c r="I762" s="6" t="n">
        <x:v>13204</x:v>
      </x:c>
      <x:c r="J762" s="11" t="n">
        <x:f>E762/D762</x:f>
        <x:v>1</x:v>
      </x:c>
      <x:c r="K762" s="11" t="n">
        <x:f>F762/D762</x:f>
        <x:v>0</x:v>
      </x:c>
      <x:c r="L762" s="13" t="n">
        <x:f>I762/D762</x:f>
        <x:v>16.756345177664976</x:v>
      </x:c>
      <x:c r="M762" s="6" t="str">
        <x:v>Included</x:v>
      </x:c>
    </x:row>
    <x:row r="763" ht="23" customHeight="1">
      <x:c r="B763" s="12" t="str">
        <x:v>7920</x:v>
      </x:c>
      <x:c r="C763" s="6" t="str">
        <x:v>75 Tandridge Cres</x:v>
      </x:c>
      <x:c r="D763" s="6" t="n">
        <x:v>789</x:v>
      </x:c>
      <x:c r="E763" s="6" t="n">
        <x:v>789</x:v>
      </x:c>
      <x:c r="F763" s="6" t="n">
        <x:v>0</x:v>
      </x:c>
      <x:c r="G763" s="6" t="n">
        <x:v>11</x:v>
      </x:c>
      <x:c r="H763" s="6" t="n">
        <x:v>115</x:v>
      </x:c>
      <x:c r="I763" s="6" t="n">
        <x:v>11124</x:v>
      </x:c>
      <x:c r="J763" s="11" t="n">
        <x:f>E763/D763</x:f>
        <x:v>1</x:v>
      </x:c>
      <x:c r="K763" s="11" t="n">
        <x:f>F763/D763</x:f>
        <x:v>0</x:v>
      </x:c>
      <x:c r="L763" s="13" t="n">
        <x:f>I763/D763</x:f>
        <x:v>14.098859315589353</x:v>
      </x:c>
      <x:c r="M763" s="6" t="str">
        <x:v>Included</x:v>
      </x:c>
    </x:row>
    <x:row r="764" ht="23" customHeight="1">
      <x:c r="B764" s="12" t="str">
        <x:v>7922</x:v>
      </x:c>
      <x:c r="C764" s="6" t="str">
        <x:v>35 Erindale Ave</x:v>
      </x:c>
      <x:c r="D764" s="6" t="n">
        <x:v>797</x:v>
      </x:c>
      <x:c r="E764" s="6" t="n">
        <x:v>795</x:v>
      </x:c>
      <x:c r="F764" s="6" t="n">
        <x:v>2</x:v>
      </x:c>
      <x:c r="G764" s="6" t="n">
        <x:v>11</x:v>
      </x:c>
      <x:c r="H764" s="6" t="n">
        <x:v>115</x:v>
      </x:c>
      <x:c r="I764" s="6" t="n">
        <x:v>10155</x:v>
      </x:c>
      <x:c r="J764" s="11" t="n">
        <x:f>E764/D764</x:f>
        <x:v>0.9974905897114178</x:v>
      </x:c>
      <x:c r="K764" s="11" t="n">
        <x:f>F764/D764</x:f>
        <x:v>0.002509410288582183</x:v>
      </x:c>
      <x:c r="L764" s="13" t="n">
        <x:f>I764/D764</x:f>
        <x:v>12.741530740276035</x:v>
      </x:c>
      <x:c r="M764" s="6" t="str">
        <x:v>Included</x:v>
      </x:c>
    </x:row>
    <x:row r="765" ht="23" customHeight="1">
      <x:c r="B765" s="12" t="str">
        <x:v>7923</x:v>
      </x:c>
      <x:c r="C765" s="6" t="str">
        <x:v>Trethewey Dr / Jane St</x:v>
      </x:c>
      <x:c r="D765" s="6" t="n">
        <x:v>786</x:v>
      </x:c>
      <x:c r="E765" s="6" t="n">
        <x:v>786</x:v>
      </x:c>
      <x:c r="F765" s="6" t="n">
        <x:v>0</x:v>
      </x:c>
      <x:c r="G765" s="6" t="n">
        <x:v>11</x:v>
      </x:c>
      <x:c r="H765" s="6" t="n">
        <x:v>115</x:v>
      </x:c>
      <x:c r="I765" s="6" t="n">
        <x:v>9248</x:v>
      </x:c>
      <x:c r="J765" s="11" t="n">
        <x:f>E765/D765</x:f>
        <x:v>1</x:v>
      </x:c>
      <x:c r="K765" s="11" t="n">
        <x:f>F765/D765</x:f>
        <x:v>0</x:v>
      </x:c>
      <x:c r="L765" s="13" t="n">
        <x:f>I765/D765</x:f>
        <x:v>11.76590330788804</x:v>
      </x:c>
      <x:c r="M765" s="6" t="str">
        <x:v>Included</x:v>
      </x:c>
    </x:row>
    <x:row r="766" ht="23" customHeight="1">
      <x:c r="B766" s="12" t="str">
        <x:v>7924</x:v>
      </x:c>
      <x:c r="C766" s="6" t="str">
        <x:v>Duncan St / Adelaide St W - SMART</x:v>
      </x:c>
      <x:c r="D766" s="6" t="n">
        <x:v>794</x:v>
      </x:c>
      <x:c r="E766" s="6" t="n">
        <x:v>704</x:v>
      </x:c>
      <x:c r="F766" s="6" t="n">
        <x:v>90</x:v>
      </x:c>
      <x:c r="G766" s="6" t="n">
        <x:v>11</x:v>
      </x:c>
      <x:c r="H766" s="6" t="n">
        <x:v>114</x:v>
      </x:c>
      <x:c r="I766" s="6" t="n">
        <x:v>4378</x:v>
      </x:c>
      <x:c r="J766" s="11" t="n">
        <x:f>E766/D766</x:f>
        <x:v>0.8866498740554156</x:v>
      </x:c>
      <x:c r="K766" s="11" t="n">
        <x:f>F766/D766</x:f>
        <x:v>0.11335012594458438</x:v>
      </x:c>
      <x:c r="L766" s="13" t="n">
        <x:f>I766/D766</x:f>
        <x:v>5.513853904282116</x:v>
      </x:c>
      <x:c r="M766" s="6" t="str">
        <x:v>Included</x:v>
      </x:c>
    </x:row>
    <x:row r="767" ht="23" customHeight="1">
      <x:c r="B767" s="12" t="str">
        <x:v>7925</x:v>
      </x:c>
      <x:c r="C767" s="6" t="str">
        <x:v>Niagara St / King St W - SMART</x:v>
      </x:c>
      <x:c r="D767" s="6" t="n">
        <x:v>792</x:v>
      </x:c>
      <x:c r="E767" s="6" t="n">
        <x:v>654</x:v>
      </x:c>
      <x:c r="F767" s="6" t="n">
        <x:v>138</x:v>
      </x:c>
      <x:c r="G767" s="6" t="n">
        <x:v>11</x:v>
      </x:c>
      <x:c r="H767" s="6" t="n">
        <x:v>114</x:v>
      </x:c>
      <x:c r="I767" s="6" t="n">
        <x:v>8066</x:v>
      </x:c>
      <x:c r="J767" s="11" t="n">
        <x:f>E767/D767</x:f>
        <x:v>0.8257575757575758</x:v>
      </x:c>
      <x:c r="K767" s="11" t="n">
        <x:f>F767/D767</x:f>
        <x:v>0.17424242424242425</x:v>
      </x:c>
      <x:c r="L767" s="13" t="n">
        <x:f>I767/D767</x:f>
        <x:v>10.184343434343434</x:v>
      </x:c>
      <x:c r="M767" s="6" t="str">
        <x:v>Included</x:v>
      </x:c>
    </x:row>
    <x:row r="768" ht="23" customHeight="1">
      <x:c r="B768" s="12" t="str">
        <x:v>7926</x:v>
      </x:c>
      <x:c r="C768" s="6" t="str">
        <x:v>McRae Dr / Laird Dr - SMART</x:v>
      </x:c>
      <x:c r="D768" s="6" t="n">
        <x:v>786</x:v>
      </x:c>
      <x:c r="E768" s="6" t="n">
        <x:v>786</x:v>
      </x:c>
      <x:c r="F768" s="6" t="n">
        <x:v>0</x:v>
      </x:c>
      <x:c r="G768" s="6" t="n">
        <x:v>11</x:v>
      </x:c>
      <x:c r="H768" s="6" t="n">
        <x:v>114</x:v>
      </x:c>
      <x:c r="I768" s="6" t="n">
        <x:v>17704</x:v>
      </x:c>
      <x:c r="J768" s="11" t="n">
        <x:f>E768/D768</x:f>
        <x:v>1</x:v>
      </x:c>
      <x:c r="K768" s="11" t="n">
        <x:f>F768/D768</x:f>
        <x:v>0</x:v>
      </x:c>
      <x:c r="L768" s="13" t="n">
        <x:f>I768/D768</x:f>
        <x:v>22.52417302798982</x:v>
      </x:c>
      <x:c r="M768" s="6" t="str">
        <x:v>Included</x:v>
      </x:c>
    </x:row>
    <x:row r="769" ht="23" customHeight="1">
      <x:c r="B769" s="12" t="str">
        <x:v>7927</x:v>
      </x:c>
      <x:c r="C769" s="6" t="str">
        <x:v>Strachan Ave / East Liberty St - SMART</x:v>
      </x:c>
      <x:c r="D769" s="6" t="n">
        <x:v>787</x:v>
      </x:c>
      <x:c r="E769" s="6" t="n">
        <x:v>512</x:v>
      </x:c>
      <x:c r="F769" s="6" t="n">
        <x:v>275</x:v>
      </x:c>
      <x:c r="G769" s="6" t="n">
        <x:v>11</x:v>
      </x:c>
      <x:c r="H769" s="6" t="n">
        <x:v>115</x:v>
      </x:c>
      <x:c r="I769" s="6" t="n">
        <x:v>7695</x:v>
      </x:c>
      <x:c r="J769" s="11" t="n">
        <x:f>E769/D769</x:f>
        <x:v>0.650571791613723</x:v>
      </x:c>
      <x:c r="K769" s="11" t="n">
        <x:f>F769/D769</x:f>
        <x:v>0.34942820838627703</x:v>
      </x:c>
      <x:c r="L769" s="13" t="n">
        <x:f>I769/D769</x:f>
        <x:v>9.777636594663278</x:v>
      </x:c>
      <x:c r="M769" s="6" t="str">
        <x:v>Included</x:v>
      </x:c>
    </x:row>
    <x:row r="770" ht="23" customHeight="1">
      <x:c r="B770" s="12" t="str">
        <x:v>7928</x:v>
      </x:c>
      <x:c r="C770" s="6" t="str">
        <x:v>Simcoe St / Pullan Pl</x:v>
      </x:c>
      <x:c r="D770" s="6" t="n">
        <x:v>785</x:v>
      </x:c>
      <x:c r="E770" s="6" t="n">
        <x:v>785</x:v>
      </x:c>
      <x:c r="F770" s="6" t="n">
        <x:v>0</x:v>
      </x:c>
      <x:c r="G770" s="6" t="n">
        <x:v>11</x:v>
      </x:c>
      <x:c r="H770" s="6" t="n">
        <x:v>114</x:v>
      </x:c>
      <x:c r="I770" s="6" t="n">
        <x:v>50783</x:v>
      </x:c>
      <x:c r="J770" s="11" t="n">
        <x:f>E770/D770</x:f>
        <x:v>1</x:v>
      </x:c>
      <x:c r="K770" s="11" t="n">
        <x:f>F770/D770</x:f>
        <x:v>0</x:v>
      </x:c>
      <x:c r="L770" s="13" t="n">
        <x:f>I770/D770</x:f>
        <x:v>64.69171974522293</x:v>
      </x:c>
      <x:c r="M770" s="6" t="str">
        <x:v>Included</x:v>
      </x:c>
    </x:row>
    <x:row r="771" ht="23" customHeight="1">
      <x:c r="B771" s="12" t="str">
        <x:v>7929</x:v>
      </x:c>
      <x:c r="C771" s="6" t="str">
        <x:v>Spadina Ave / Bulwer St- SMART</x:v>
      </x:c>
      <x:c r="D771" s="6" t="n">
        <x:v>782</x:v>
      </x:c>
      <x:c r="E771" s="6" t="n">
        <x:v>632</x:v>
      </x:c>
      <x:c r="F771" s="6" t="n">
        <x:v>150</x:v>
      </x:c>
      <x:c r="G771" s="6" t="n">
        <x:v>11</x:v>
      </x:c>
      <x:c r="H771" s="6" t="n">
        <x:v>115</x:v>
      </x:c>
      <x:c r="I771" s="6" t="n">
        <x:v>2269</x:v>
      </x:c>
      <x:c r="J771" s="11" t="n">
        <x:f>E771/D771</x:f>
        <x:v>0.8081841432225064</x:v>
      </x:c>
      <x:c r="K771" s="11" t="n">
        <x:f>F771/D771</x:f>
        <x:v>0.1918158567774936</x:v>
      </x:c>
      <x:c r="L771" s="13" t="n">
        <x:f>I771/D771</x:f>
        <x:v>2.90153452685422</x:v>
      </x:c>
      <x:c r="M771" s="6" t="str">
        <x:v>Included</x:v>
      </x:c>
    </x:row>
    <x:row r="772" ht="23" customHeight="1">
      <x:c r="B772" s="12" t="str">
        <x:v>7930</x:v>
      </x:c>
      <x:c r="C772" s="6" t="str">
        <x:v>Dunn Ave / Queen St W</x:v>
      </x:c>
      <x:c r="D772" s="6" t="n">
        <x:v>784</x:v>
      </x:c>
      <x:c r="E772" s="6" t="n">
        <x:v>670</x:v>
      </x:c>
      <x:c r="F772" s="6" t="n">
        <x:v>114</x:v>
      </x:c>
      <x:c r="G772" s="6" t="n">
        <x:v>11</x:v>
      </x:c>
      <x:c r="H772" s="6" t="n">
        <x:v>113</x:v>
      </x:c>
      <x:c r="I772" s="6" t="n">
        <x:v>2207</x:v>
      </x:c>
      <x:c r="J772" s="11" t="n">
        <x:f>E772/D772</x:f>
        <x:v>0.8545918367346939</x:v>
      </x:c>
      <x:c r="K772" s="11" t="n">
        <x:f>F772/D772</x:f>
        <x:v>0.14540816326530612</x:v>
      </x:c>
      <x:c r="L772" s="13" t="n">
        <x:f>I772/D772</x:f>
        <x:v>2.815051020408163</x:v>
      </x:c>
      <x:c r="M772" s="6" t="str">
        <x:v>Included</x:v>
      </x:c>
    </x:row>
    <x:row r="773" ht="23" customHeight="1">
      <x:c r="B773" s="12" t="str">
        <x:v>7931</x:v>
      </x:c>
      <x:c r="C773" s="6" t="str">
        <x:v>Symes Rd / Glen Scarlett Rd - SMART</x:v>
      </x:c>
      <x:c r="D773" s="6" t="n">
        <x:v>784</x:v>
      </x:c>
      <x:c r="E773" s="6" t="n">
        <x:v>784</x:v>
      </x:c>
      <x:c r="F773" s="6" t="n">
        <x:v>0</x:v>
      </x:c>
      <x:c r="G773" s="6" t="n">
        <x:v>11</x:v>
      </x:c>
      <x:c r="H773" s="6" t="n">
        <x:v>115</x:v>
      </x:c>
      <x:c r="I773" s="6" t="n">
        <x:v>9295</x:v>
      </x:c>
      <x:c r="J773" s="11" t="n">
        <x:f>E773/D773</x:f>
        <x:v>1</x:v>
      </x:c>
      <x:c r="K773" s="11" t="n">
        <x:f>F773/D773</x:f>
        <x:v>0</x:v>
      </x:c>
      <x:c r="L773" s="13" t="n">
        <x:f>I773/D773</x:f>
        <x:v>11.855867346938776</x:v>
      </x:c>
      <x:c r="M773" s="6" t="str">
        <x:v>Included</x:v>
      </x:c>
    </x:row>
    <x:row r="774" ht="23" customHeight="1">
      <x:c r="B774" s="12" t="str">
        <x:v>7932</x:v>
      </x:c>
      <x:c r="C774" s="6" t="str">
        <x:v>Boston Ave / Queen St E- SMART</x:v>
      </x:c>
      <x:c r="D774" s="6" t="n">
        <x:v>777</x:v>
      </x:c>
      <x:c r="E774" s="6" t="n">
        <x:v>425</x:v>
      </x:c>
      <x:c r="F774" s="6" t="n">
        <x:v>352</x:v>
      </x:c>
      <x:c r="G774" s="6" t="n">
        <x:v>11</x:v>
      </x:c>
      <x:c r="H774" s="6" t="n">
        <x:v>114</x:v>
      </x:c>
      <x:c r="I774" s="6" t="n">
        <x:v>1045</x:v>
      </x:c>
      <x:c r="J774" s="11" t="n">
        <x:f>E774/D774</x:f>
        <x:v>0.546975546975547</x:v>
      </x:c>
      <x:c r="K774" s="11" t="n">
        <x:f>F774/D774</x:f>
        <x:v>0.45302445302445304</x:v>
      </x:c>
      <x:c r="L774" s="13" t="n">
        <x:f>I774/D774</x:f>
        <x:v>1.3449163449163448</x:v>
      </x:c>
      <x:c r="M774" s="6" t="str">
        <x:v>Included</x:v>
      </x:c>
    </x:row>
    <x:row r="775" ht="23" customHeight="1">
      <x:c r="B775" s="12" t="str">
        <x:v>7933</x:v>
      </x:c>
      <x:c r="C775" s="6" t="str">
        <x:v>Elizabeth St / Elm St</x:v>
      </x:c>
      <x:c r="D775" s="6" t="n">
        <x:v>792</x:v>
      </x:c>
      <x:c r="E775" s="6" t="n">
        <x:v>757</x:v>
      </x:c>
      <x:c r="F775" s="6" t="n">
        <x:v>35</x:v>
      </x:c>
      <x:c r="G775" s="6" t="n">
        <x:v>11</x:v>
      </x:c>
      <x:c r="H775" s="6" t="n">
        <x:v>115</x:v>
      </x:c>
      <x:c r="I775" s="6" t="n">
        <x:v>12793</x:v>
      </x:c>
      <x:c r="J775" s="11" t="n">
        <x:f>E775/D775</x:f>
        <x:v>0.9558080808080808</x:v>
      </x:c>
      <x:c r="K775" s="11" t="n">
        <x:f>F775/D775</x:f>
        <x:v>0.04419191919191919</x:v>
      </x:c>
      <x:c r="L775" s="13" t="n">
        <x:f>I775/D775</x:f>
        <x:v>16.15277777777778</x:v>
      </x:c>
      <x:c r="M775" s="6" t="str">
        <x:v>Included</x:v>
      </x:c>
    </x:row>
    <x:row r="776" ht="23" customHeight="1">
      <x:c r="B776" s="12" t="str">
        <x:v>7934</x:v>
      </x:c>
      <x:c r="C776" s="6" t="str">
        <x:v>19 Glendora Ave</x:v>
      </x:c>
      <x:c r="D776" s="6" t="n">
        <x:v>800</x:v>
      </x:c>
      <x:c r="E776" s="6" t="n">
        <x:v>571</x:v>
      </x:c>
      <x:c r="F776" s="6" t="n">
        <x:v>229</x:v>
      </x:c>
      <x:c r="G776" s="6" t="n">
        <x:v>11</x:v>
      </x:c>
      <x:c r="H776" s="6" t="n">
        <x:v>116</x:v>
      </x:c>
      <x:c r="I776" s="6" t="n">
        <x:v>1502</x:v>
      </x:c>
      <x:c r="J776" s="11" t="n">
        <x:f>E776/D776</x:f>
        <x:v>0.71375</x:v>
      </x:c>
      <x:c r="K776" s="11" t="n">
        <x:f>F776/D776</x:f>
        <x:v>0.28625</x:v>
      </x:c>
      <x:c r="L776" s="13" t="n">
        <x:f>I776/D776</x:f>
        <x:v>1.8775</x:v>
      </x:c>
      <x:c r="M776" s="6" t="str">
        <x:v>Included</x:v>
      </x:c>
    </x:row>
    <x:row r="777" ht="23" customHeight="1">
      <x:c r="B777" s="12" t="str">
        <x:v>7935</x:v>
      </x:c>
      <x:c r="C777" s="6" t="str">
        <x:v>Ramsden Park</x:v>
      </x:c>
      <x:c r="D777" s="6" t="n">
        <x:v>789</x:v>
      </x:c>
      <x:c r="E777" s="6" t="n">
        <x:v>789</x:v>
      </x:c>
      <x:c r="F777" s="6" t="n">
        <x:v>0</x:v>
      </x:c>
      <x:c r="G777" s="6" t="n">
        <x:v>11</x:v>
      </x:c>
      <x:c r="H777" s="6" t="n">
        <x:v>115</x:v>
      </x:c>
      <x:c r="I777" s="6" t="n">
        <x:v>9243</x:v>
      </x:c>
      <x:c r="J777" s="11" t="n">
        <x:f>E777/D777</x:f>
        <x:v>1</x:v>
      </x:c>
      <x:c r="K777" s="11" t="n">
        <x:f>F777/D777</x:f>
        <x:v>0</x:v>
      </x:c>
      <x:c r="L777" s="13" t="n">
        <x:f>I777/D777</x:f>
        <x:v>11.714828897338403</x:v>
      </x:c>
      <x:c r="M777" s="6" t="str">
        <x:v>Included</x:v>
      </x:c>
    </x:row>
    <x:row r="778" ht="23" customHeight="1">
      <x:c r="B778" s="12" t="str">
        <x:v>7936</x:v>
      </x:c>
      <x:c r="C778" s="6" t="str">
        <x:v>Adelaide St W / Bay St (South)</x:v>
      </x:c>
      <x:c r="D778" s="6" t="n">
        <x:v>793</x:v>
      </x:c>
      <x:c r="E778" s="6" t="n">
        <x:v>741</x:v>
      </x:c>
      <x:c r="F778" s="6" t="n">
        <x:v>52</x:v>
      </x:c>
      <x:c r="G778" s="6" t="n">
        <x:v>11</x:v>
      </x:c>
      <x:c r="H778" s="6" t="n">
        <x:v>115</x:v>
      </x:c>
      <x:c r="I778" s="6" t="n">
        <x:v>7219</x:v>
      </x:c>
      <x:c r="J778" s="11" t="n">
        <x:f>E778/D778</x:f>
        <x:v>0.9344262295081968</x:v>
      </x:c>
      <x:c r="K778" s="11" t="n">
        <x:f>F778/D778</x:f>
        <x:v>0.06557377049180328</x:v>
      </x:c>
      <x:c r="L778" s="13" t="n">
        <x:f>I778/D778</x:f>
        <x:v>9.103404791929382</x:v>
      </x:c>
      <x:c r="M778" s="6" t="str">
        <x:v>Included</x:v>
      </x:c>
    </x:row>
    <x:row r="779" ht="23" customHeight="1">
      <x:c r="B779" s="12" t="str">
        <x:v>7937</x:v>
      </x:c>
      <x:c r="C779" s="6" t="str">
        <x:v>Adelaide St W / Yonge St</x:v>
      </x:c>
      <x:c r="D779" s="6" t="n">
        <x:v>784</x:v>
      </x:c>
      <x:c r="E779" s="6" t="n">
        <x:v>703</x:v>
      </x:c>
      <x:c r="F779" s="6" t="n">
        <x:v>81</x:v>
      </x:c>
      <x:c r="G779" s="6" t="n">
        <x:v>11</x:v>
      </x:c>
      <x:c r="H779" s="6" t="n">
        <x:v>114</x:v>
      </x:c>
      <x:c r="I779" s="6" t="n">
        <x:v>7497</x:v>
      </x:c>
      <x:c r="J779" s="11" t="n">
        <x:f>E779/D779</x:f>
        <x:v>0.8966836734693877</x:v>
      </x:c>
      <x:c r="K779" s="11" t="n">
        <x:f>F779/D779</x:f>
        <x:v>0.10331632653061225</x:v>
      </x:c>
      <x:c r="L779" s="13" t="n">
        <x:f>I779/D779</x:f>
        <x:v>9.5625</x:v>
      </x:c>
      <x:c r="M779" s="6" t="str">
        <x:v>Included</x:v>
      </x:c>
    </x:row>
    <x:row r="780" ht="23" customHeight="1">
      <x:c r="B780" s="12" t="str">
        <x:v>7938</x:v>
      </x:c>
      <x:c r="C780" s="6" t="str">
        <x:v>Portland St / Wellington St W</x:v>
      </x:c>
      <x:c r="D780" s="6" t="n">
        <x:v>793</x:v>
      </x:c>
      <x:c r="E780" s="6" t="n">
        <x:v>627</x:v>
      </x:c>
      <x:c r="F780" s="6" t="n">
        <x:v>166</x:v>
      </x:c>
      <x:c r="G780" s="6" t="n">
        <x:v>11</x:v>
      </x:c>
      <x:c r="H780" s="6" t="n">
        <x:v>115</x:v>
      </x:c>
      <x:c r="I780" s="6" t="n">
        <x:v>3369</x:v>
      </x:c>
      <x:c r="J780" s="11" t="n">
        <x:f>E780/D780</x:f>
        <x:v>0.7906683480453972</x:v>
      </x:c>
      <x:c r="K780" s="11" t="n">
        <x:f>F780/D780</x:f>
        <x:v>0.20933165195460277</x:v>
      </x:c>
      <x:c r="L780" s="13" t="n">
        <x:f>I780/D780</x:f>
        <x:v>4.248423707440101</x:v>
      </x:c>
      <x:c r="M780" s="6" t="str">
        <x:v>Included</x:v>
      </x:c>
    </x:row>
    <x:row r="781" ht="23" customHeight="1">
      <x:c r="B781" s="12" t="str">
        <x:v>7939</x:v>
      </x:c>
      <x:c r="C781" s="6" t="str">
        <x:v>Princes' Gates</x:v>
      </x:c>
      <x:c r="D781" s="6" t="n">
        <x:v>785</x:v>
      </x:c>
      <x:c r="E781" s="6" t="n">
        <x:v>713</x:v>
      </x:c>
      <x:c r="F781" s="6" t="n">
        <x:v>72</x:v>
      </x:c>
      <x:c r="G781" s="6" t="n">
        <x:v>11</x:v>
      </x:c>
      <x:c r="H781" s="6" t="n">
        <x:v>115</x:v>
      </x:c>
      <x:c r="I781" s="6" t="n">
        <x:v>6220</x:v>
      </x:c>
      <x:c r="J781" s="11" t="n">
        <x:f>E781/D781</x:f>
        <x:v>0.9082802547770701</x:v>
      </x:c>
      <x:c r="K781" s="11" t="n">
        <x:f>F781/D781</x:f>
        <x:v>0.09171974522292993</x:v>
      </x:c>
      <x:c r="L781" s="13" t="n">
        <x:f>I781/D781</x:f>
        <x:v>7.923566878980892</x:v>
      </x:c>
      <x:c r="M781" s="6" t="str">
        <x:v>Included</x:v>
      </x:c>
    </x:row>
    <x:row r="782" ht="23" customHeight="1">
      <x:c r="B782" s="12" t="str">
        <x:v>7940</x:v>
      </x:c>
      <x:c r="C782" s="6" t="str">
        <x:v>Lillian St / Soudan Ave - SMART</x:v>
      </x:c>
      <x:c r="D782" s="6" t="n">
        <x:v>793</x:v>
      </x:c>
      <x:c r="E782" s="6" t="n">
        <x:v>793</x:v>
      </x:c>
      <x:c r="F782" s="6" t="n">
        <x:v>0</x:v>
      </x:c>
      <x:c r="G782" s="6" t="n">
        <x:v>11</x:v>
      </x:c>
      <x:c r="H782" s="6" t="n">
        <x:v>116</x:v>
      </x:c>
      <x:c r="I782" s="6" t="n">
        <x:v>18445</x:v>
      </x:c>
      <x:c r="J782" s="11" t="n">
        <x:f>E782/D782</x:f>
        <x:v>1</x:v>
      </x:c>
      <x:c r="K782" s="11" t="n">
        <x:f>F782/D782</x:f>
        <x:v>0</x:v>
      </x:c>
      <x:c r="L782" s="13" t="n">
        <x:f>I782/D782</x:f>
        <x:v>23.259773013871374</x:v>
      </x:c>
      <x:c r="M782" s="6" t="str">
        <x:v>Included</x:v>
      </x:c>
    </x:row>
    <x:row r="783" ht="23" customHeight="1">
      <x:c r="B783" s="12" t="str">
        <x:v>7941</x:v>
      </x:c>
      <x:c r="C783" s="6" t="str">
        <x:v>Hanna Ave / Snooker St</x:v>
      </x:c>
      <x:c r="D783" s="6" t="n">
        <x:v>787</x:v>
      </x:c>
      <x:c r="E783" s="6" t="n">
        <x:v>645</x:v>
      </x:c>
      <x:c r="F783" s="6" t="n">
        <x:v>142</x:v>
      </x:c>
      <x:c r="G783" s="6" t="n">
        <x:v>11</x:v>
      </x:c>
      <x:c r="H783" s="6" t="n">
        <x:v>116</x:v>
      </x:c>
      <x:c r="I783" s="6" t="n">
        <x:v>2768</x:v>
      </x:c>
      <x:c r="J783" s="11" t="n">
        <x:f>E783/D783</x:f>
        <x:v>0.8195679796696315</x:v>
      </x:c>
      <x:c r="K783" s="11" t="n">
        <x:f>F783/D783</x:f>
        <x:v>0.18043202033036848</x:v>
      </x:c>
      <x:c r="L783" s="13" t="n">
        <x:f>I783/D783</x:f>
        <x:v>3.51715374841169</x:v>
      </x:c>
      <x:c r="M783" s="6" t="str">
        <x:v>Included</x:v>
      </x:c>
    </x:row>
    <x:row r="784" ht="23" customHeight="1">
      <x:c r="B784" s="12" t="str">
        <x:v>7942</x:v>
      </x:c>
      <x:c r="C784" s="6" t="str">
        <x:v>Hillsdale Ave E / Mount Pleasant Rd</x:v>
      </x:c>
      <x:c r="D784" s="6" t="n">
        <x:v>784</x:v>
      </x:c>
      <x:c r="E784" s="6" t="n">
        <x:v>784</x:v>
      </x:c>
      <x:c r="F784" s="6" t="n">
        <x:v>0</x:v>
      </x:c>
      <x:c r="G784" s="6" t="n">
        <x:v>11</x:v>
      </x:c>
      <x:c r="H784" s="6" t="n">
        <x:v>114</x:v>
      </x:c>
      <x:c r="I784" s="6" t="n">
        <x:v>7876</x:v>
      </x:c>
      <x:c r="J784" s="11" t="n">
        <x:f>E784/D784</x:f>
        <x:v>1</x:v>
      </x:c>
      <x:c r="K784" s="11" t="n">
        <x:f>F784/D784</x:f>
        <x:v>0</x:v>
      </x:c>
      <x:c r="L784" s="13" t="n">
        <x:f>I784/D784</x:f>
        <x:v>10.045918367346939</x:v>
      </x:c>
      <x:c r="M784" s="6" t="str">
        <x:v>Included</x:v>
      </x:c>
    </x:row>
    <x:row r="785" ht="23" customHeight="1">
      <x:c r="B785" s="12" t="str">
        <x:v>7943</x:v>
      </x:c>
      <x:c r="C785" s="6" t="str">
        <x:v>OCAD University</x:v>
      </x:c>
      <x:c r="D785" s="6" t="n">
        <x:v>784</x:v>
      </x:c>
      <x:c r="E785" s="6" t="n">
        <x:v>714</x:v>
      </x:c>
      <x:c r="F785" s="6" t="n">
        <x:v>70</x:v>
      </x:c>
      <x:c r="G785" s="6" t="n">
        <x:v>11</x:v>
      </x:c>
      <x:c r="H785" s="6" t="n">
        <x:v>115</x:v>
      </x:c>
      <x:c r="I785" s="6" t="n">
        <x:v>7607</x:v>
      </x:c>
      <x:c r="J785" s="11" t="n">
        <x:f>E785/D785</x:f>
        <x:v>0.9107142857142857</x:v>
      </x:c>
      <x:c r="K785" s="11" t="n">
        <x:f>F785/D785</x:f>
        <x:v>0.08928571428571429</x:v>
      </x:c>
      <x:c r="L785" s="13" t="n">
        <x:f>I785/D785</x:f>
        <x:v>9.70280612244898</x:v>
      </x:c>
      <x:c r="M785" s="6" t="str">
        <x:v>Included</x:v>
      </x:c>
    </x:row>
    <x:row r="786" ht="23" customHeight="1">
      <x:c r="B786" s="12" t="str">
        <x:v>7944</x:v>
      </x:c>
      <x:c r="C786" s="6" t="str">
        <x:v>Harbord St / Grace St (Bickford Park)</x:v>
      </x:c>
      <x:c r="D786" s="6" t="n">
        <x:v>787</x:v>
      </x:c>
      <x:c r="E786" s="6" t="n">
        <x:v>780</x:v>
      </x:c>
      <x:c r="F786" s="6" t="n">
        <x:v>7</x:v>
      </x:c>
      <x:c r="G786" s="6" t="n">
        <x:v>11</x:v>
      </x:c>
      <x:c r="H786" s="6" t="n">
        <x:v>114</x:v>
      </x:c>
      <x:c r="I786" s="6" t="n">
        <x:v>12787</x:v>
      </x:c>
      <x:c r="J786" s="11" t="n">
        <x:f>E786/D786</x:f>
        <x:v>0.9911054637865311</x:v>
      </x:c>
      <x:c r="K786" s="11" t="n">
        <x:f>F786/D786</x:f>
        <x:v>0.008894536213468869</x:v>
      </x:c>
      <x:c r="L786" s="13" t="n">
        <x:f>I786/D786</x:f>
        <x:v>16.24777636594663</x:v>
      </x:c>
      <x:c r="M786" s="6" t="str">
        <x:v>Included</x:v>
      </x:c>
    </x:row>
    <x:row r="787" ht="23" customHeight="1">
      <x:c r="B787" s="12" t="str">
        <x:v>7945</x:v>
      </x:c>
      <x:c r="C787" s="6" t="str">
        <x:v>Front St W / Spadina Ave</x:v>
      </x:c>
      <x:c r="D787" s="6" t="n">
        <x:v>783</x:v>
      </x:c>
      <x:c r="E787" s="6" t="n">
        <x:v>651</x:v>
      </x:c>
      <x:c r="F787" s="6" t="n">
        <x:v>132</x:v>
      </x:c>
      <x:c r="G787" s="6" t="n">
        <x:v>11</x:v>
      </x:c>
      <x:c r="H787" s="6" t="n">
        <x:v>115</x:v>
      </x:c>
      <x:c r="I787" s="6" t="n">
        <x:v>7573</x:v>
      </x:c>
      <x:c r="J787" s="11" t="n">
        <x:f>E787/D787</x:f>
        <x:v>0.8314176245210728</x:v>
      </x:c>
      <x:c r="K787" s="11" t="n">
        <x:f>F787/D787</x:f>
        <x:v>0.1685823754789272</x:v>
      </x:c>
      <x:c r="L787" s="13" t="n">
        <x:f>I787/D787</x:f>
        <x:v>9.671775223499361</x:v>
      </x:c>
      <x:c r="M787" s="6" t="str">
        <x:v>Included</x:v>
      </x:c>
    </x:row>
    <x:row r="788" ht="23" customHeight="1">
      <x:c r="B788" s="12" t="str">
        <x:v>7946</x:v>
      </x:c>
      <x:c r="C788" s="6" t="str">
        <x:v>Richmond St W / Bathurst St</x:v>
      </x:c>
      <x:c r="D788" s="6" t="n">
        <x:v>788</x:v>
      </x:c>
      <x:c r="E788" s="6" t="n">
        <x:v>710</x:v>
      </x:c>
      <x:c r="F788" s="6" t="n">
        <x:v>78</x:v>
      </x:c>
      <x:c r="G788" s="6" t="n">
        <x:v>11</x:v>
      </x:c>
      <x:c r="H788" s="6" t="n">
        <x:v>115</x:v>
      </x:c>
      <x:c r="I788" s="6" t="n">
        <x:v>3394</x:v>
      </x:c>
      <x:c r="J788" s="11" t="n">
        <x:f>E788/D788</x:f>
        <x:v>0.9010152284263959</x:v>
      </x:c>
      <x:c r="K788" s="11" t="n">
        <x:f>F788/D788</x:f>
        <x:v>0.09898477157360407</x:v>
      </x:c>
      <x:c r="L788" s="13" t="n">
        <x:f>I788/D788</x:f>
        <x:v>4.307106598984771</x:v>
      </x:c>
      <x:c r="M788" s="6" t="str">
        <x:v>Included</x:v>
      </x:c>
    </x:row>
    <x:row r="789" ht="23" customHeight="1">
      <x:c r="B789" s="12" t="str">
        <x:v>7947</x:v>
      </x:c>
      <x:c r="C789" s="6" t="str">
        <x:v>Niagara St / Queen St W</x:v>
      </x:c>
      <x:c r="D789" s="6" t="n">
        <x:v>791</x:v>
      </x:c>
      <x:c r="E789" s="6" t="n">
        <x:v>500</x:v>
      </x:c>
      <x:c r="F789" s="6" t="n">
        <x:v>291</x:v>
      </x:c>
      <x:c r="G789" s="6" t="n">
        <x:v>11</x:v>
      </x:c>
      <x:c r="H789" s="6" t="n">
        <x:v>114</x:v>
      </x:c>
      <x:c r="I789" s="6" t="n">
        <x:v>2049</x:v>
      </x:c>
      <x:c r="J789" s="11" t="n">
        <x:f>E789/D789</x:f>
        <x:v>0.6321112515802781</x:v>
      </x:c>
      <x:c r="K789" s="11" t="n">
        <x:f>F789/D789</x:f>
        <x:v>0.36788874841972186</x:v>
      </x:c>
      <x:c r="L789" s="13" t="n">
        <x:f>I789/D789</x:f>
        <x:v>2.5903919089759797</x:v>
      </x:c>
      <x:c r="M789" s="6" t="str">
        <x:v>Included</x:v>
      </x:c>
    </x:row>
    <x:row r="790" ht="23" customHeight="1">
      <x:c r="B790" s="12" t="str">
        <x:v>7948</x:v>
      </x:c>
      <x:c r="C790" s="6" t="str">
        <x:v>Bathurst St / Housey St</x:v>
      </x:c>
      <x:c r="D790" s="6" t="n">
        <x:v>787</x:v>
      </x:c>
      <x:c r="E790" s="6" t="n">
        <x:v>654</x:v>
      </x:c>
      <x:c r="F790" s="6" t="n">
        <x:v>133</x:v>
      </x:c>
      <x:c r="G790" s="6" t="n">
        <x:v>11</x:v>
      </x:c>
      <x:c r="H790" s="6" t="n">
        <x:v>115</x:v>
      </x:c>
      <x:c r="I790" s="6" t="n">
        <x:v>5972</x:v>
      </x:c>
      <x:c r="J790" s="11" t="n">
        <x:f>E790/D790</x:f>
        <x:v>0.8310038119440915</x:v>
      </x:c>
      <x:c r="K790" s="11" t="n">
        <x:f>F790/D790</x:f>
        <x:v>0.16899618805590852</x:v>
      </x:c>
      <x:c r="L790" s="13" t="n">
        <x:f>I790/D790</x:f>
        <x:v>7.588310038119441</x:v>
      </x:c>
      <x:c r="M790" s="6" t="str">
        <x:v>Included</x:v>
      </x:c>
    </x:row>
    <x:row r="791" ht="23" customHeight="1">
      <x:c r="B791" s="12" t="str">
        <x:v>7949</x:v>
      </x:c>
      <x:c r="C791" s="6" t="str">
        <x:v>Thompson St / Carroll St</x:v>
      </x:c>
      <x:c r="D791" s="6" t="n">
        <x:v>780</x:v>
      </x:c>
      <x:c r="E791" s="6" t="n">
        <x:v>560</x:v>
      </x:c>
      <x:c r="F791" s="6" t="n">
        <x:v>220</x:v>
      </x:c>
      <x:c r="G791" s="6" t="n">
        <x:v>11</x:v>
      </x:c>
      <x:c r="H791" s="6" t="n">
        <x:v>114</x:v>
      </x:c>
      <x:c r="I791" s="6" t="n">
        <x:v>3397</x:v>
      </x:c>
      <x:c r="J791" s="11" t="n">
        <x:f>E791/D791</x:f>
        <x:v>0.717948717948718</x:v>
      </x:c>
      <x:c r="K791" s="11" t="n">
        <x:f>F791/D791</x:f>
        <x:v>0.28205128205128205</x:v>
      </x:c>
      <x:c r="L791" s="13" t="n">
        <x:f>I791/D791</x:f>
        <x:v>4.355128205128205</x:v>
      </x:c>
      <x:c r="M791" s="6" t="str">
        <x:v>Included</x:v>
      </x:c>
    </x:row>
    <x:row r="792" ht="23" customHeight="1">
      <x:c r="B792" s="12" t="str">
        <x:v>7950</x:v>
      </x:c>
      <x:c r="C792" s="6" t="str">
        <x:v>Crawford St / Lobb Ave</x:v>
      </x:c>
      <x:c r="D792" s="6" t="n">
        <x:v>789</x:v>
      </x:c>
      <x:c r="E792" s="6" t="n">
        <x:v>587</x:v>
      </x:c>
      <x:c r="F792" s="6" t="n">
        <x:v>202</x:v>
      </x:c>
      <x:c r="G792" s="6" t="n">
        <x:v>11</x:v>
      </x:c>
      <x:c r="H792" s="6" t="n">
        <x:v>114</x:v>
      </x:c>
      <x:c r="I792" s="6" t="n">
        <x:v>2330</x:v>
      </x:c>
      <x:c r="J792" s="11" t="n">
        <x:f>E792/D792</x:f>
        <x:v>0.743979721166033</x:v>
      </x:c>
      <x:c r="K792" s="11" t="n">
        <x:f>F792/D792</x:f>
        <x:v>0.25602027883396705</x:v>
      </x:c>
      <x:c r="L792" s="13" t="n">
        <x:f>I792/D792</x:f>
        <x:v>2.953105196451204</x:v>
      </x:c>
      <x:c r="M792" s="6" t="str">
        <x:v>Included</x:v>
      </x:c>
    </x:row>
    <x:row r="793" ht="23" customHeight="1">
      <x:c r="B793" s="12" t="str">
        <x:v>7951</x:v>
      </x:c>
      <x:c r="C793" s="6" t="str">
        <x:v>Fort York Blvd / Grand Magazine St</x:v>
      </x:c>
      <x:c r="D793" s="6" t="n">
        <x:v>783</x:v>
      </x:c>
      <x:c r="E793" s="6" t="n">
        <x:v>592</x:v>
      </x:c>
      <x:c r="F793" s="6" t="n">
        <x:v>191</x:v>
      </x:c>
      <x:c r="G793" s="6" t="n">
        <x:v>11</x:v>
      </x:c>
      <x:c r="H793" s="6" t="n">
        <x:v>114</x:v>
      </x:c>
      <x:c r="I793" s="6" t="n">
        <x:v>6109</x:v>
      </x:c>
      <x:c r="J793" s="11" t="n">
        <x:f>E793/D793</x:f>
        <x:v>0.756066411238825</x:v>
      </x:c>
      <x:c r="K793" s="11" t="n">
        <x:f>F793/D793</x:f>
        <x:v>0.24393358876117496</x:v>
      </x:c>
      <x:c r="L793" s="13" t="n">
        <x:f>I793/D793</x:f>
        <x:v>7.802043422733078</x:v>
      </x:c>
      <x:c r="M793" s="6" t="str">
        <x:v>Included</x:v>
      </x:c>
    </x:row>
    <x:row r="794" ht="23" customHeight="1">
      <x:c r="B794" s="12" t="str">
        <x:v>7952</x:v>
      </x:c>
      <x:c r="C794" s="6" t="str">
        <x:v>Adelaide St W / York St</x:v>
      </x:c>
      <x:c r="D794" s="6" t="n">
        <x:v>790</x:v>
      </x:c>
      <x:c r="E794" s="6" t="n">
        <x:v>774</x:v>
      </x:c>
      <x:c r="F794" s="6" t="n">
        <x:v>16</x:v>
      </x:c>
      <x:c r="G794" s="6" t="n">
        <x:v>11</x:v>
      </x:c>
      <x:c r="H794" s="6" t="n">
        <x:v>115</x:v>
      </x:c>
      <x:c r="I794" s="6" t="n">
        <x:v>9177</x:v>
      </x:c>
      <x:c r="J794" s="11" t="n">
        <x:f>E794/D794</x:f>
        <x:v>0.979746835443038</x:v>
      </x:c>
      <x:c r="K794" s="11" t="n">
        <x:f>F794/D794</x:f>
        <x:v>0.020253164556962026</x:v>
      </x:c>
      <x:c r="L794" s="13" t="n">
        <x:f>I794/D794</x:f>
        <x:v>11.616455696202532</x:v>
      </x:c>
      <x:c r="M794" s="6" t="str">
        <x:v>Included</x:v>
      </x:c>
    </x:row>
    <x:row r="795" ht="23" customHeight="1">
      <x:c r="B795" s="12" t="str">
        <x:v>7953</x:v>
      </x:c>
      <x:c r="C795" s="6" t="str">
        <x:v>Church St / Shuter St</x:v>
      </x:c>
      <x:c r="D795" s="6" t="n">
        <x:v>782</x:v>
      </x:c>
      <x:c r="E795" s="6" t="n">
        <x:v>621</x:v>
      </x:c>
      <x:c r="F795" s="6" t="n">
        <x:v>161</x:v>
      </x:c>
      <x:c r="G795" s="6" t="n">
        <x:v>11</x:v>
      </x:c>
      <x:c r="H795" s="6" t="n">
        <x:v>114</x:v>
      </x:c>
      <x:c r="I795" s="6" t="n">
        <x:v>5453</x:v>
      </x:c>
      <x:c r="J795" s="11" t="n">
        <x:f>E795/D795</x:f>
        <x:v>0.7941176470588235</x:v>
      </x:c>
      <x:c r="K795" s="11" t="n">
        <x:f>F795/D795</x:f>
        <x:v>0.20588235294117646</x:v>
      </x:c>
      <x:c r="L795" s="13" t="n">
        <x:f>I795/D795</x:f>
        <x:v>6.9731457800511505</x:v>
      </x:c>
      <x:c r="M795" s="6" t="str">
        <x:v>Included</x:v>
      </x:c>
    </x:row>
    <x:row r="796" ht="23" customHeight="1">
      <x:c r="B796" s="12" t="str">
        <x:v>7954</x:v>
      </x:c>
      <x:c r="C796" s="6" t="str">
        <x:v>Adelaide St E / Parliament St</x:v>
      </x:c>
      <x:c r="D796" s="6" t="n">
        <x:v>784</x:v>
      </x:c>
      <x:c r="E796" s="6" t="n">
        <x:v>698</x:v>
      </x:c>
      <x:c r="F796" s="6" t="n">
        <x:v>86</x:v>
      </x:c>
      <x:c r="G796" s="6" t="n">
        <x:v>11</x:v>
      </x:c>
      <x:c r="H796" s="6" t="n">
        <x:v>116</x:v>
      </x:c>
      <x:c r="I796" s="6" t="n">
        <x:v>6368</x:v>
      </x:c>
      <x:c r="J796" s="11" t="n">
        <x:f>E796/D796</x:f>
        <x:v>0.8903061224489796</x:v>
      </x:c>
      <x:c r="K796" s="11" t="n">
        <x:f>F796/D796</x:f>
        <x:v>0.1096938775510204</x:v>
      </x:c>
      <x:c r="L796" s="13" t="n">
        <x:f>I796/D796</x:f>
        <x:v>8.122448979591837</x:v>
      </x:c>
      <x:c r="M796" s="6" t="str">
        <x:v>Included</x:v>
      </x:c>
    </x:row>
    <x:row r="797" ht="23" customHeight="1">
      <x:c r="B797" s="12" t="str">
        <x:v>7955</x:v>
      </x:c>
      <x:c r="C797" s="6" t="str">
        <x:v>Wellesley St E / Jarvis St</x:v>
      </x:c>
      <x:c r="D797" s="6" t="n">
        <x:v>790</x:v>
      </x:c>
      <x:c r="E797" s="6" t="n">
        <x:v>790</x:v>
      </x:c>
      <x:c r="F797" s="6" t="n">
        <x:v>0</x:v>
      </x:c>
      <x:c r="G797" s="6" t="n">
        <x:v>11</x:v>
      </x:c>
      <x:c r="H797" s="6" t="n">
        <x:v>114</x:v>
      </x:c>
      <x:c r="I797" s="6" t="n">
        <x:v>13845</x:v>
      </x:c>
      <x:c r="J797" s="11" t="n">
        <x:f>E797/D797</x:f>
        <x:v>1</x:v>
      </x:c>
      <x:c r="K797" s="11" t="n">
        <x:f>F797/D797</x:f>
        <x:v>0</x:v>
      </x:c>
      <x:c r="L797" s="13" t="n">
        <x:f>I797/D797</x:f>
        <x:v>17.525316455696203</x:v>
      </x:c>
      <x:c r="M797" s="6" t="str">
        <x:v>Included</x:v>
      </x:c>
    </x:row>
    <x:row r="798" ht="23" customHeight="1">
      <x:c r="B798" s="12" t="str">
        <x:v>7956</x:v>
      </x:c>
      <x:c r="C798" s="6" t="str">
        <x:v>Benshire Dr / The Meadoway</x:v>
      </x:c>
      <x:c r="D798" s="6" t="n">
        <x:v>796</x:v>
      </x:c>
      <x:c r="E798" s="6" t="n">
        <x:v>796</x:v>
      </x:c>
      <x:c r="F798" s="6" t="n">
        <x:v>0</x:v>
      </x:c>
      <x:c r="G798" s="6" t="n">
        <x:v>11</x:v>
      </x:c>
      <x:c r="H798" s="6" t="n">
        <x:v>114</x:v>
      </x:c>
      <x:c r="I798" s="6" t="n">
        <x:v>7424</x:v>
      </x:c>
      <x:c r="J798" s="11" t="n">
        <x:f>E798/D798</x:f>
        <x:v>1</x:v>
      </x:c>
      <x:c r="K798" s="11" t="n">
        <x:f>F798/D798</x:f>
        <x:v>0</x:v>
      </x:c>
      <x:c r="L798" s="13" t="n">
        <x:f>I798/D798</x:f>
        <x:v>9.326633165829145</x:v>
      </x:c>
      <x:c r="M798" s="6" t="str">
        <x:v>Included</x:v>
      </x:c>
    </x:row>
    <x:row r="799" ht="23" customHeight="1">
      <x:c r="B799" s="12" t="str">
        <x:v>7957</x:v>
      </x:c>
      <x:c r="C799" s="6" t="str">
        <x:v>Brimley Rd / Lawrence Ave E</x:v>
      </x:c>
      <x:c r="D799" s="6" t="n">
        <x:v>791</x:v>
      </x:c>
      <x:c r="E799" s="6" t="n">
        <x:v>791</x:v>
      </x:c>
      <x:c r="F799" s="6" t="n">
        <x:v>0</x:v>
      </x:c>
      <x:c r="G799" s="6" t="n">
        <x:v>11</x:v>
      </x:c>
      <x:c r="H799" s="6" t="n">
        <x:v>114</x:v>
      </x:c>
      <x:c r="I799" s="6" t="n">
        <x:v>11479</x:v>
      </x:c>
      <x:c r="J799" s="11" t="n">
        <x:f>E799/D799</x:f>
        <x:v>1</x:v>
      </x:c>
      <x:c r="K799" s="11" t="n">
        <x:f>F799/D799</x:f>
        <x:v>0</x:v>
      </x:c>
      <x:c r="L799" s="13" t="n">
        <x:f>I799/D799</x:f>
        <x:v>14.512010113780025</x:v>
      </x:c>
      <x:c r="M799" s="6" t="str">
        <x:v>Included</x:v>
      </x:c>
    </x:row>
    <x:row r="800" ht="23" customHeight="1">
      <x:c r="B800" s="12" t="str">
        <x:v>7958</x:v>
      </x:c>
      <x:c r="C800" s="6" t="str">
        <x:v>Centennial College (Ashtonbee Campus)</x:v>
      </x:c>
      <x:c r="D800" s="6" t="n">
        <x:v>783</x:v>
      </x:c>
      <x:c r="E800" s="6" t="n">
        <x:v>783</x:v>
      </x:c>
      <x:c r="F800" s="6" t="n">
        <x:v>0</x:v>
      </x:c>
      <x:c r="G800" s="6" t="n">
        <x:v>11</x:v>
      </x:c>
      <x:c r="H800" s="6" t="n">
        <x:v>115</x:v>
      </x:c>
      <x:c r="I800" s="6" t="n">
        <x:v>14389</x:v>
      </x:c>
      <x:c r="J800" s="11" t="n">
        <x:f>E800/D800</x:f>
        <x:v>1</x:v>
      </x:c>
      <x:c r="K800" s="11" t="n">
        <x:f>F800/D800</x:f>
        <x:v>0</x:v>
      </x:c>
      <x:c r="L800" s="13" t="n">
        <x:f>I800/D800</x:f>
        <x:v>18.37675606641124</x:v>
      </x:c>
      <x:c r="M800" s="6" t="str">
        <x:v>Included</x:v>
      </x:c>
    </x:row>
    <x:row r="801" ht="23" customHeight="1">
      <x:c r="B801" s="12" t="str">
        <x:v>7959</x:v>
      </x:c>
      <x:c r="C801" s="6" t="str">
        <x:v>Bellamy Rd N / The Meadoway</x:v>
      </x:c>
      <x:c r="D801" s="6" t="n">
        <x:v>783</x:v>
      </x:c>
      <x:c r="E801" s="6" t="n">
        <x:v>783</x:v>
      </x:c>
      <x:c r="F801" s="6" t="n">
        <x:v>0</x:v>
      </x:c>
      <x:c r="G801" s="6" t="n">
        <x:v>11</x:v>
      </x:c>
      <x:c r="H801" s="6" t="n">
        <x:v>115</x:v>
      </x:c>
      <x:c r="I801" s="6" t="n">
        <x:v>10127</x:v>
      </x:c>
      <x:c r="J801" s="11" t="n">
        <x:f>E801/D801</x:f>
        <x:v>1</x:v>
      </x:c>
      <x:c r="K801" s="11" t="n">
        <x:f>F801/D801</x:f>
        <x:v>0</x:v>
      </x:c>
      <x:c r="L801" s="13" t="n">
        <x:f>I801/D801</x:f>
        <x:v>12.933588761174969</x:v>
      </x:c>
      <x:c r="M801" s="6" t="str">
        <x:v>Included</x:v>
      </x:c>
    </x:row>
    <x:row r="802" ht="23" customHeight="1">
      <x:c r="B802" s="12" t="str">
        <x:v>7960</x:v>
      </x:c>
      <x:c r="C802" s="6" t="str">
        <x:v>Markham Rd / The Meadoway</x:v>
      </x:c>
      <x:c r="D802" s="6" t="n">
        <x:v>786</x:v>
      </x:c>
      <x:c r="E802" s="6" t="n">
        <x:v>786</x:v>
      </x:c>
      <x:c r="F802" s="6" t="n">
        <x:v>0</x:v>
      </x:c>
      <x:c r="G802" s="6" t="n">
        <x:v>11</x:v>
      </x:c>
      <x:c r="H802" s="6" t="n">
        <x:v>115</x:v>
      </x:c>
      <x:c r="I802" s="6" t="n">
        <x:v>13999</x:v>
      </x:c>
      <x:c r="J802" s="11" t="n">
        <x:f>E802/D802</x:f>
        <x:v>1</x:v>
      </x:c>
      <x:c r="K802" s="11" t="n">
        <x:f>F802/D802</x:f>
        <x:v>0</x:v>
      </x:c>
      <x:c r="L802" s="13" t="n">
        <x:f>I802/D802</x:f>
        <x:v>17.810432569974555</x:v>
      </x:c>
      <x:c r="M802" s="6" t="str">
        <x:v>Included</x:v>
      </x:c>
    </x:row>
    <x:row r="803" ht="23" customHeight="1">
      <x:c r="B803" s="12" t="str">
        <x:v>7961</x:v>
      </x:c>
      <x:c r="C803" s="6" t="str">
        <x:v>Ellesmere Rd / Markham Rd</x:v>
      </x:c>
      <x:c r="D803" s="6" t="n">
        <x:v>792</x:v>
      </x:c>
      <x:c r="E803" s="6" t="n">
        <x:v>792</x:v>
      </x:c>
      <x:c r="F803" s="6" t="n">
        <x:v>0</x:v>
      </x:c>
      <x:c r="G803" s="6" t="n">
        <x:v>11</x:v>
      </x:c>
      <x:c r="H803" s="6" t="n">
        <x:v>115</x:v>
      </x:c>
      <x:c r="I803" s="6" t="n">
        <x:v>10720</x:v>
      </x:c>
      <x:c r="J803" s="11" t="n">
        <x:f>E803/D803</x:f>
        <x:v>1</x:v>
      </x:c>
      <x:c r="K803" s="11" t="n">
        <x:f>F803/D803</x:f>
        <x:v>0</x:v>
      </x:c>
      <x:c r="L803" s="13" t="n">
        <x:f>I803/D803</x:f>
        <x:v>13.535353535353535</x:v>
      </x:c>
      <x:c r="M803" s="6" t="str">
        <x:v>Included</x:v>
      </x:c>
    </x:row>
    <x:row r="804" ht="23" customHeight="1">
      <x:c r="B804" s="12" t="str">
        <x:v>7962</x:v>
      </x:c>
      <x:c r="C804" s="6" t="str">
        <x:v>Slan Ave / Scarborough Golf Club Rd</x:v>
      </x:c>
      <x:c r="D804" s="6" t="n">
        <x:v>779</x:v>
      </x:c>
      <x:c r="E804" s="6" t="n">
        <x:v>779</x:v>
      </x:c>
      <x:c r="F804" s="6" t="n">
        <x:v>0</x:v>
      </x:c>
      <x:c r="G804" s="6" t="n">
        <x:v>11</x:v>
      </x:c>
      <x:c r="H804" s="6" t="n">
        <x:v>116</x:v>
      </x:c>
      <x:c r="I804" s="6" t="n">
        <x:v>8272</x:v>
      </x:c>
      <x:c r="J804" s="11" t="n">
        <x:f>E804/D804</x:f>
        <x:v>1</x:v>
      </x:c>
      <x:c r="K804" s="11" t="n">
        <x:f>F804/D804</x:f>
        <x:v>0</x:v>
      </x:c>
      <x:c r="L804" s="13" t="n">
        <x:f>I804/D804</x:f>
        <x:v>10.618741976893453</x:v>
      </x:c>
      <x:c r="M804" s="6" t="str">
        <x:v>Included</x:v>
      </x:c>
    </x:row>
    <x:row r="805" ht="23" customHeight="1">
      <x:c r="B805" s="12" t="str">
        <x:v>7963</x:v>
      </x:c>
      <x:c r="C805" s="6" t="str">
        <x:v>Cedar Dr / Eglinton Ave E</x:v>
      </x:c>
      <x:c r="D805" s="6" t="n">
        <x:v>779</x:v>
      </x:c>
      <x:c r="E805" s="6" t="n">
        <x:v>779</x:v>
      </x:c>
      <x:c r="F805" s="6" t="n">
        <x:v>0</x:v>
      </x:c>
      <x:c r="G805" s="6" t="n">
        <x:v>11</x:v>
      </x:c>
      <x:c r="H805" s="6" t="n">
        <x:v>115</x:v>
      </x:c>
      <x:c r="I805" s="6" t="n">
        <x:v>5308</x:v>
      </x:c>
      <x:c r="J805" s="11" t="n">
        <x:f>E805/D805</x:f>
        <x:v>1</x:v>
      </x:c>
      <x:c r="K805" s="11" t="n">
        <x:f>F805/D805</x:f>
        <x:v>0</x:v>
      </x:c>
      <x:c r="L805" s="13" t="n">
        <x:f>I805/D805</x:f>
        <x:v>6.813863928112966</x:v>
      </x:c>
      <x:c r="M805" s="6" t="str">
        <x:v>Included</x:v>
      </x:c>
    </x:row>
    <x:row r="806" ht="23" customHeight="1">
      <x:c r="B806" s="12" t="str">
        <x:v>7964</x:v>
      </x:c>
      <x:c r="C806" s="6" t="str">
        <x:v>Kennedy Rd/Ranstone Gdns (Jack Goodlad Park)</x:v>
      </x:c>
      <x:c r="D806" s="6" t="n">
        <x:v>783</x:v>
      </x:c>
      <x:c r="E806" s="6" t="n">
        <x:v>783</x:v>
      </x:c>
      <x:c r="F806" s="6" t="n">
        <x:v>0</x:v>
      </x:c>
      <x:c r="G806" s="6" t="n">
        <x:v>11</x:v>
      </x:c>
      <x:c r="H806" s="6" t="n">
        <x:v>114</x:v>
      </x:c>
      <x:c r="I806" s="6" t="n">
        <x:v>11721</x:v>
      </x:c>
      <x:c r="J806" s="11" t="n">
        <x:f>E806/D806</x:f>
        <x:v>1</x:v>
      </x:c>
      <x:c r="K806" s="11" t="n">
        <x:f>F806/D806</x:f>
        <x:v>0</x:v>
      </x:c>
      <x:c r="L806" s="13" t="n">
        <x:f>I806/D806</x:f>
        <x:v>14.969348659003831</x:v>
      </x:c>
      <x:c r="M806" s="6" t="str">
        <x:v>Included</x:v>
      </x:c>
    </x:row>
    <x:row r="807" ht="23" customHeight="1">
      <x:c r="B807" s="12" t="str">
        <x:v>7965</x:v>
      </x:c>
      <x:c r="C807" s="6" t="str">
        <x:v>Eglinton Ave E / Brimley Rd</x:v>
      </x:c>
      <x:c r="D807" s="6" t="n">
        <x:v>782</x:v>
      </x:c>
      <x:c r="E807" s="6" t="n">
        <x:v>782</x:v>
      </x:c>
      <x:c r="F807" s="6" t="n">
        <x:v>0</x:v>
      </x:c>
      <x:c r="G807" s="6" t="n">
        <x:v>11</x:v>
      </x:c>
      <x:c r="H807" s="6" t="n">
        <x:v>116</x:v>
      </x:c>
      <x:c r="I807" s="6" t="n">
        <x:v>13423</x:v>
      </x:c>
      <x:c r="J807" s="11" t="n">
        <x:f>E807/D807</x:f>
        <x:v>1</x:v>
      </x:c>
      <x:c r="K807" s="11" t="n">
        <x:f>F807/D807</x:f>
        <x:v>0</x:v>
      </x:c>
      <x:c r="L807" s="13" t="n">
        <x:f>I807/D807</x:f>
        <x:v>17.164961636828643</x:v>
      </x:c>
      <x:c r="M807" s="6" t="str">
        <x:v>Included</x:v>
      </x:c>
    </x:row>
    <x:row r="808" ht="23" customHeight="1">
      <x:c r="B808" s="12" t="str">
        <x:v>7966</x:v>
      </x:c>
      <x:c r="C808" s="6" t="str">
        <x:v>Albany Ave / Dupont St</x:v>
      </x:c>
      <x:c r="D808" s="6" t="n">
        <x:v>784</x:v>
      </x:c>
      <x:c r="E808" s="6" t="n">
        <x:v>784</x:v>
      </x:c>
      <x:c r="F808" s="6" t="n">
        <x:v>0</x:v>
      </x:c>
      <x:c r="G808" s="6" t="n">
        <x:v>11</x:v>
      </x:c>
      <x:c r="H808" s="6" t="n">
        <x:v>114</x:v>
      </x:c>
      <x:c r="I808" s="6" t="n">
        <x:v>10372</x:v>
      </x:c>
      <x:c r="J808" s="11" t="n">
        <x:f>E808/D808</x:f>
        <x:v>1</x:v>
      </x:c>
      <x:c r="K808" s="11" t="n">
        <x:f>F808/D808</x:f>
        <x:v>0</x:v>
      </x:c>
      <x:c r="L808" s="13" t="n">
        <x:f>I808/D808</x:f>
        <x:v>13.229591836734693</x:v>
      </x:c>
      <x:c r="M808" s="6" t="str">
        <x:v>Included</x:v>
      </x:c>
    </x:row>
    <x:row r="809" ht="23" customHeight="1">
      <x:c r="B809" s="12" t="str">
        <x:v>7967</x:v>
      </x:c>
      <x:c r="C809" s="6" t="str">
        <x:v>Gordonridge Pl / Danforth Rd</x:v>
      </x:c>
      <x:c r="D809" s="6" t="n">
        <x:v>793</x:v>
      </x:c>
      <x:c r="E809" s="6" t="n">
        <x:v>793</x:v>
      </x:c>
      <x:c r="F809" s="6" t="n">
        <x:v>0</x:v>
      </x:c>
      <x:c r="G809" s="6" t="n">
        <x:v>11</x:v>
      </x:c>
      <x:c r="H809" s="6" t="n">
        <x:v>114</x:v>
      </x:c>
      <x:c r="I809" s="6" t="n">
        <x:v>7651</x:v>
      </x:c>
      <x:c r="J809" s="11" t="n">
        <x:f>E809/D809</x:f>
        <x:v>1</x:v>
      </x:c>
      <x:c r="K809" s="11" t="n">
        <x:f>F809/D809</x:f>
        <x:v>0</x:v>
      </x:c>
      <x:c r="L809" s="13" t="n">
        <x:f>I809/D809</x:f>
        <x:v>9.648171500630516</x:v>
      </x:c>
      <x:c r="M809" s="6" t="str">
        <x:v>Included</x:v>
      </x:c>
    </x:row>
    <x:row r="810" ht="23" customHeight="1">
      <x:c r="B810" s="12" t="str">
        <x:v>7968</x:v>
      </x:c>
      <x:c r="C810" s="6" t="str">
        <x:v>McCowan Rd / Trudelle St</x:v>
      </x:c>
      <x:c r="D810" s="6" t="n">
        <x:v>792</x:v>
      </x:c>
      <x:c r="E810" s="6" t="n">
        <x:v>792</x:v>
      </x:c>
      <x:c r="F810" s="6" t="n">
        <x:v>0</x:v>
      </x:c>
      <x:c r="G810" s="6" t="n">
        <x:v>11</x:v>
      </x:c>
      <x:c r="H810" s="6" t="n">
        <x:v>114</x:v>
      </x:c>
      <x:c r="I810" s="6" t="n">
        <x:v>11422</x:v>
      </x:c>
      <x:c r="J810" s="11" t="n">
        <x:f>E810/D810</x:f>
        <x:v>1</x:v>
      </x:c>
      <x:c r="K810" s="11" t="n">
        <x:f>F810/D810</x:f>
        <x:v>0</x:v>
      </x:c>
      <x:c r="L810" s="13" t="n">
        <x:f>I810/D810</x:f>
        <x:v>14.421717171717171</x:v>
      </x:c>
      <x:c r="M810" s="6" t="str">
        <x:v>Included</x:v>
      </x:c>
    </x:row>
    <x:row r="811" ht="23" customHeight="1">
      <x:c r="B811" s="12" t="str">
        <x:v>7969</x:v>
      </x:c>
      <x:c r="C811" s="6" t="str">
        <x:v>Bayview Ave / Finch Recreational Trail</x:v>
      </x:c>
      <x:c r="D811" s="6" t="n">
        <x:v>787</x:v>
      </x:c>
      <x:c r="E811" s="6" t="n">
        <x:v>787</x:v>
      </x:c>
      <x:c r="F811" s="6" t="n">
        <x:v>0</x:v>
      </x:c>
      <x:c r="G811" s="6" t="n">
        <x:v>11</x:v>
      </x:c>
      <x:c r="H811" s="6" t="n">
        <x:v>115</x:v>
      </x:c>
      <x:c r="I811" s="6" t="n">
        <x:v>13646</x:v>
      </x:c>
      <x:c r="J811" s="11" t="n">
        <x:f>E811/D811</x:f>
        <x:v>1</x:v>
      </x:c>
      <x:c r="K811" s="11" t="n">
        <x:f>F811/D811</x:f>
        <x:v>0</x:v>
      </x:c>
      <x:c r="L811" s="13" t="n">
        <x:f>I811/D811</x:f>
        <x:v>17.339263024142312</x:v>
      </x:c>
      <x:c r="M811" s="6" t="str">
        <x:v>Included</x:v>
      </x:c>
    </x:row>
    <x:row r="812" ht="23" customHeight="1">
      <x:c r="B812" s="12" t="str">
        <x:v>7970</x:v>
      </x:c>
      <x:c r="C812" s="6" t="str">
        <x:v>Willowdale Ave / Bishop Ave</x:v>
      </x:c>
      <x:c r="D812" s="6" t="n">
        <x:v>788</x:v>
      </x:c>
      <x:c r="E812" s="6" t="n">
        <x:v>788</x:v>
      </x:c>
      <x:c r="F812" s="6" t="n">
        <x:v>0</x:v>
      </x:c>
      <x:c r="G812" s="6" t="n">
        <x:v>11</x:v>
      </x:c>
      <x:c r="H812" s="6" t="n">
        <x:v>115</x:v>
      </x:c>
      <x:c r="I812" s="6" t="n">
        <x:v>13492</x:v>
      </x:c>
      <x:c r="J812" s="11" t="n">
        <x:f>E812/D812</x:f>
        <x:v>1</x:v>
      </x:c>
      <x:c r="K812" s="11" t="n">
        <x:f>F812/D812</x:f>
        <x:v>0</x:v>
      </x:c>
      <x:c r="L812" s="13" t="n">
        <x:f>I812/D812</x:f>
        <x:v>17.121827411167512</x:v>
      </x:c>
      <x:c r="M812" s="6" t="str">
        <x:v>Included</x:v>
      </x:c>
    </x:row>
    <x:row r="813" ht="23" customHeight="1">
      <x:c r="B813" s="12" t="str">
        <x:v>7971</x:v>
      </x:c>
      <x:c r="C813" s="6" t="str">
        <x:v>Talbot Rd / Finch Hydro Corridor</x:v>
      </x:c>
      <x:c r="D813" s="6" t="n">
        <x:v>786</x:v>
      </x:c>
      <x:c r="E813" s="6" t="n">
        <x:v>786</x:v>
      </x:c>
      <x:c r="F813" s="6" t="n">
        <x:v>0</x:v>
      </x:c>
      <x:c r="G813" s="6" t="n">
        <x:v>11</x:v>
      </x:c>
      <x:c r="H813" s="6" t="n">
        <x:v>114</x:v>
      </x:c>
      <x:c r="I813" s="6" t="n">
        <x:v>7572</x:v>
      </x:c>
      <x:c r="J813" s="11" t="n">
        <x:f>E813/D813</x:f>
        <x:v>1</x:v>
      </x:c>
      <x:c r="K813" s="11" t="n">
        <x:f>F813/D813</x:f>
        <x:v>0</x:v>
      </x:c>
      <x:c r="L813" s="13" t="n">
        <x:f>I813/D813</x:f>
        <x:v>9.633587786259541</x:v>
      </x:c>
      <x:c r="M813" s="6" t="str">
        <x:v>Included</x:v>
      </x:c>
    </x:row>
    <x:row r="814" ht="23" customHeight="1">
      <x:c r="B814" s="12" t="str">
        <x:v>7972</x:v>
      </x:c>
      <x:c r="C814" s="6" t="str">
        <x:v>Eglinton Ave E / Mason Rd</x:v>
      </x:c>
      <x:c r="D814" s="6" t="n">
        <x:v>789</x:v>
      </x:c>
      <x:c r="E814" s="6" t="n">
        <x:v>789</x:v>
      </x:c>
      <x:c r="F814" s="6" t="n">
        <x:v>0</x:v>
      </x:c>
      <x:c r="G814" s="6" t="n">
        <x:v>11</x:v>
      </x:c>
      <x:c r="H814" s="6" t="n">
        <x:v>115</x:v>
      </x:c>
      <x:c r="I814" s="6" t="n">
        <x:v>6372</x:v>
      </x:c>
      <x:c r="J814" s="11" t="n">
        <x:f>E814/D814</x:f>
        <x:v>1</x:v>
      </x:c>
      <x:c r="K814" s="11" t="n">
        <x:f>F814/D814</x:f>
        <x:v>0</x:v>
      </x:c>
      <x:c r="L814" s="13" t="n">
        <x:f>I814/D814</x:f>
        <x:v>8.076045627376425</x:v>
      </x:c>
      <x:c r="M814" s="6" t="str">
        <x:v>Included</x:v>
      </x:c>
    </x:row>
    <x:row r="815" ht="23" customHeight="1">
      <x:c r="B815" s="12" t="str">
        <x:v>7973</x:v>
      </x:c>
      <x:c r="C815" s="6" t="str">
        <x:v>Lawrence Ave E / Don Mills Trail</x:v>
      </x:c>
      <x:c r="D815" s="6" t="n">
        <x:v>786</x:v>
      </x:c>
      <x:c r="E815" s="6" t="n">
        <x:v>786</x:v>
      </x:c>
      <x:c r="F815" s="6" t="n">
        <x:v>0</x:v>
      </x:c>
      <x:c r="G815" s="6" t="n">
        <x:v>11</x:v>
      </x:c>
      <x:c r="H815" s="6" t="n">
        <x:v>115</x:v>
      </x:c>
      <x:c r="I815" s="6" t="n">
        <x:v>11439</x:v>
      </x:c>
      <x:c r="J815" s="11" t="n">
        <x:f>E815/D815</x:f>
        <x:v>1</x:v>
      </x:c>
      <x:c r="K815" s="11" t="n">
        <x:f>F815/D815</x:f>
        <x:v>0</x:v>
      </x:c>
      <x:c r="L815" s="13" t="n">
        <x:f>I815/D815</x:f>
        <x:v>14.553435114503817</x:v>
      </x:c>
      <x:c r="M815" s="6" t="str">
        <x:v>Included</x:v>
      </x:c>
    </x:row>
    <x:row r="816" ht="23" customHeight="1">
      <x:c r="B816" s="12" t="str">
        <x:v>7974</x:v>
      </x:c>
      <x:c r="C816" s="6" t="str">
        <x:v>Kempford Blvd / Yonge St</x:v>
      </x:c>
      <x:c r="D816" s="6" t="n">
        <x:v>788</x:v>
      </x:c>
      <x:c r="E816" s="6" t="n">
        <x:v>788</x:v>
      </x:c>
      <x:c r="F816" s="6" t="n">
        <x:v>0</x:v>
      </x:c>
      <x:c r="G816" s="6" t="n">
        <x:v>11</x:v>
      </x:c>
      <x:c r="H816" s="6" t="n">
        <x:v>115</x:v>
      </x:c>
      <x:c r="I816" s="6" t="n">
        <x:v>11611</x:v>
      </x:c>
      <x:c r="J816" s="11" t="n">
        <x:f>E816/D816</x:f>
        <x:v>1</x:v>
      </x:c>
      <x:c r="K816" s="11" t="n">
        <x:f>F816/D816</x:f>
        <x:v>0</x:v>
      </x:c>
      <x:c r="L816" s="13" t="n">
        <x:f>I816/D816</x:f>
        <x:v>14.73477157360406</x:v>
      </x:c>
      <x:c r="M816" s="6" t="str">
        <x:v>Included</x:v>
      </x:c>
    </x:row>
    <x:row r="817" ht="23" customHeight="1">
      <x:c r="B817" s="12" t="str">
        <x:v>7975</x:v>
      </x:c>
      <x:c r="C817" s="6" t="str">
        <x:v>Empress Ave / Yonge St</x:v>
      </x:c>
      <x:c r="D817" s="6" t="n">
        <x:v>546</x:v>
      </x:c>
      <x:c r="E817" s="6" t="n">
        <x:v>546</x:v>
      </x:c>
      <x:c r="F817" s="6" t="n">
        <x:v>0</x:v>
      </x:c>
      <x:c r="G817" s="6" t="n">
        <x:v>7</x:v>
      </x:c>
      <x:c r="H817" s="6" t="n">
        <x:v>65</x:v>
      </x:c>
      <x:c r="I817" s="6" t="n">
        <x:v>4964</x:v>
      </x:c>
      <x:c r="J817" s="11" t="n">
        <x:f>E817/D817</x:f>
        <x:v>1</x:v>
      </x:c>
      <x:c r="K817" s="11" t="n">
        <x:f>F817/D817</x:f>
        <x:v>0</x:v>
      </x:c>
      <x:c r="L817" s="13" t="n">
        <x:f>I817/D817</x:f>
        <x:v>9.091575091575091</x:v>
      </x:c>
      <x:c r="M817" s="6" t="str">
        <x:v>Included</x:v>
      </x:c>
    </x:row>
    <x:row r="818" ht="23" customHeight="1">
      <x:c r="B818" s="12" t="str">
        <x:v>7976</x:v>
      </x:c>
      <x:c r="C818" s="6" t="str">
        <x:v>Yonge St / Sheppard Ave E</x:v>
      </x:c>
      <x:c r="D818" s="6" t="n">
        <x:v>790</x:v>
      </x:c>
      <x:c r="E818" s="6" t="n">
        <x:v>790</x:v>
      </x:c>
      <x:c r="F818" s="6" t="n">
        <x:v>0</x:v>
      </x:c>
      <x:c r="G818" s="6" t="n">
        <x:v>11</x:v>
      </x:c>
      <x:c r="H818" s="6" t="n">
        <x:v>115</x:v>
      </x:c>
      <x:c r="I818" s="6" t="n">
        <x:v>8035</x:v>
      </x:c>
      <x:c r="J818" s="11" t="n">
        <x:f>E818/D818</x:f>
        <x:v>1</x:v>
      </x:c>
      <x:c r="K818" s="11" t="n">
        <x:f>F818/D818</x:f>
        <x:v>0</x:v>
      </x:c>
      <x:c r="L818" s="13" t="n">
        <x:f>I818/D818</x:f>
        <x:v>10.170886075949367</x:v>
      </x:c>
      <x:c r="M818" s="6" t="str">
        <x:v>Included</x:v>
      </x:c>
    </x:row>
    <x:row r="819" ht="23" customHeight="1">
      <x:c r="B819" s="12" t="str">
        <x:v>7977</x:v>
      </x:c>
      <x:c r="C819" s="6" t="str">
        <x:v>Leslie Subway Station</x:v>
      </x:c>
      <x:c r="D819" s="6" t="n">
        <x:v>785</x:v>
      </x:c>
      <x:c r="E819" s="6" t="n">
        <x:v>785</x:v>
      </x:c>
      <x:c r="F819" s="6" t="n">
        <x:v>0</x:v>
      </x:c>
      <x:c r="G819" s="6" t="n">
        <x:v>11</x:v>
      </x:c>
      <x:c r="H819" s="6" t="n">
        <x:v>115</x:v>
      </x:c>
      <x:c r="I819" s="6" t="n">
        <x:v>6972</x:v>
      </x:c>
      <x:c r="J819" s="11" t="n">
        <x:f>E819/D819</x:f>
        <x:v>1</x:v>
      </x:c>
      <x:c r="K819" s="11" t="n">
        <x:f>F819/D819</x:f>
        <x:v>0</x:v>
      </x:c>
      <x:c r="L819" s="13" t="n">
        <x:f>I819/D819</x:f>
        <x:v>8.881528662420383</x:v>
      </x:c>
      <x:c r="M819" s="6" t="str">
        <x:v>Included</x:v>
      </x:c>
    </x:row>
    <x:row r="820" ht="23" customHeight="1">
      <x:c r="B820" s="12" t="str">
        <x:v>7978</x:v>
      </x:c>
      <x:c r="C820" s="6" t="str">
        <x:v>Yonge St / North York Blvd</x:v>
      </x:c>
      <x:c r="D820" s="6" t="n">
        <x:v>796</x:v>
      </x:c>
      <x:c r="E820" s="6" t="n">
        <x:v>796</x:v>
      </x:c>
      <x:c r="F820" s="6" t="n">
        <x:v>0</x:v>
      </x:c>
      <x:c r="G820" s="6" t="n">
        <x:v>11</x:v>
      </x:c>
      <x:c r="H820" s="6" t="n">
        <x:v>115</x:v>
      </x:c>
      <x:c r="I820" s="6" t="n">
        <x:v>5778</x:v>
      </x:c>
      <x:c r="J820" s="11" t="n">
        <x:f>E820/D820</x:f>
        <x:v>1</x:v>
      </x:c>
      <x:c r="K820" s="11" t="n">
        <x:f>F820/D820</x:f>
        <x:v>0</x:v>
      </x:c>
      <x:c r="L820" s="13" t="n">
        <x:f>I820/D820</x:f>
        <x:v>7.258793969849246</x:v>
      </x:c>
      <x:c r="M820" s="6" t="str">
        <x:v>Included</x:v>
      </x:c>
    </x:row>
    <x:row r="821" ht="23" customHeight="1">
      <x:c r="B821" s="12" t="str">
        <x:v>7979</x:v>
      </x:c>
      <x:c r="C821" s="6" t="str">
        <x:v>Bond Ave / Don Mills Trail</x:v>
      </x:c>
      <x:c r="D821" s="6" t="n">
        <x:v>780</x:v>
      </x:c>
      <x:c r="E821" s="6" t="n">
        <x:v>780</x:v>
      </x:c>
      <x:c r="F821" s="6" t="n">
        <x:v>0</x:v>
      </x:c>
      <x:c r="G821" s="6" t="n">
        <x:v>11</x:v>
      </x:c>
      <x:c r="H821" s="6" t="n">
        <x:v>114</x:v>
      </x:c>
      <x:c r="I821" s="6" t="n">
        <x:v>13558</x:v>
      </x:c>
      <x:c r="J821" s="11" t="n">
        <x:f>E821/D821</x:f>
        <x:v>1</x:v>
      </x:c>
      <x:c r="K821" s="11" t="n">
        <x:f>F821/D821</x:f>
        <x:v>0</x:v>
      </x:c>
      <x:c r="L821" s="13" t="n">
        <x:f>I821/D821</x:f>
        <x:v>17.382051282051282</x:v>
      </x:c>
      <x:c r="M821" s="6" t="str">
        <x:v>Included</x:v>
      </x:c>
    </x:row>
    <x:row r="822" ht="23" customHeight="1">
      <x:c r="B822" s="12" t="str">
        <x:v>7981</x:v>
      </x:c>
      <x:c r="C822" s="6" t="str">
        <x:v>Duncan Mill Rd / Valleybrook Dr</x:v>
      </x:c>
      <x:c r="D822" s="6" t="n">
        <x:v>782</x:v>
      </x:c>
      <x:c r="E822" s="6" t="n">
        <x:v>782</x:v>
      </x:c>
      <x:c r="F822" s="6" t="n">
        <x:v>0</x:v>
      </x:c>
      <x:c r="G822" s="6" t="n">
        <x:v>11</x:v>
      </x:c>
      <x:c r="H822" s="6" t="n">
        <x:v>115</x:v>
      </x:c>
      <x:c r="I822" s="6" t="n">
        <x:v>10199</x:v>
      </x:c>
      <x:c r="J822" s="11" t="n">
        <x:f>E822/D822</x:f>
        <x:v>1</x:v>
      </x:c>
      <x:c r="K822" s="11" t="n">
        <x:f>F822/D822</x:f>
        <x:v>0</x:v>
      </x:c>
      <x:c r="L822" s="13" t="n">
        <x:f>I822/D822</x:f>
        <x:v>13.042199488491049</x:v>
      </x:c>
      <x:c r="M822" s="6" t="str">
        <x:v>Included</x:v>
      </x:c>
    </x:row>
    <x:row r="823" ht="23" customHeight="1">
      <x:c r="B823" s="12" t="str">
        <x:v>7982</x:v>
      </x:c>
      <x:c r="C823" s="6" t="str">
        <x:v>Finch Ave W / Wilmington Ave</x:v>
      </x:c>
      <x:c r="D823" s="6" t="n">
        <x:v>783</x:v>
      </x:c>
      <x:c r="E823" s="6" t="n">
        <x:v>783</x:v>
      </x:c>
      <x:c r="F823" s="6" t="n">
        <x:v>0</x:v>
      </x:c>
      <x:c r="G823" s="6" t="n">
        <x:v>11</x:v>
      </x:c>
      <x:c r="H823" s="6" t="n">
        <x:v>115</x:v>
      </x:c>
      <x:c r="I823" s="6" t="n">
        <x:v>13096</x:v>
      </x:c>
      <x:c r="J823" s="11" t="n">
        <x:f>E823/D823</x:f>
        <x:v>1</x:v>
      </x:c>
      <x:c r="K823" s="11" t="n">
        <x:f>F823/D823</x:f>
        <x:v>0</x:v>
      </x:c>
      <x:c r="L823" s="13" t="n">
        <x:f>I823/D823</x:f>
        <x:v>16.725415070242658</x:v>
      </x:c>
      <x:c r="M823" s="6" t="str">
        <x:v>Included</x:v>
      </x:c>
    </x:row>
    <x:row r="824" ht="23" customHeight="1">
      <x:c r="B824" s="12" t="str">
        <x:v>7983</x:v>
      </x:c>
      <x:c r="C824" s="6" t="str">
        <x:v>York Mills Rd / Lesmill Rd</x:v>
      </x:c>
      <x:c r="D824" s="6" t="n">
        <x:v>782</x:v>
      </x:c>
      <x:c r="E824" s="6" t="n">
        <x:v>782</x:v>
      </x:c>
      <x:c r="F824" s="6" t="n">
        <x:v>0</x:v>
      </x:c>
      <x:c r="G824" s="6" t="n">
        <x:v>11</x:v>
      </x:c>
      <x:c r="H824" s="6" t="n">
        <x:v>115</x:v>
      </x:c>
      <x:c r="I824" s="6" t="n">
        <x:v>7422</x:v>
      </x:c>
      <x:c r="J824" s="11" t="n">
        <x:f>E824/D824</x:f>
        <x:v>1</x:v>
      </x:c>
      <x:c r="K824" s="11" t="n">
        <x:f>F824/D824</x:f>
        <x:v>0</x:v>
      </x:c>
      <x:c r="L824" s="13" t="n">
        <x:f>I824/D824</x:f>
        <x:v>9.491048593350383</x:v>
      </x:c>
      <x:c r="M824" s="6" t="str">
        <x:v>Included</x:v>
      </x:c>
    </x:row>
    <x:row r="825" ht="23" customHeight="1">
      <x:c r="B825" s="12" t="str">
        <x:v>7984</x:v>
      </x:c>
      <x:c r="C825" s="6" t="str">
        <x:v>Lake Shore Blvd W / Bathurst St</x:v>
      </x:c>
      <x:c r="D825" s="6" t="n">
        <x:v>789</x:v>
      </x:c>
      <x:c r="E825" s="6" t="n">
        <x:v>449</x:v>
      </x:c>
      <x:c r="F825" s="6" t="n">
        <x:v>340</x:v>
      </x:c>
      <x:c r="G825" s="6" t="n">
        <x:v>11</x:v>
      </x:c>
      <x:c r="H825" s="6" t="n">
        <x:v>114</x:v>
      </x:c>
      <x:c r="I825" s="6" t="n">
        <x:v>3876</x:v>
      </x:c>
      <x:c r="J825" s="11" t="n">
        <x:f>E825/D825</x:f>
        <x:v>0.5690747782002535</x:v>
      </x:c>
      <x:c r="K825" s="11" t="n">
        <x:f>F825/D825</x:f>
        <x:v>0.4309252217997465</x:v>
      </x:c>
      <x:c r="L825" s="13" t="n">
        <x:f>I825/D825</x:f>
        <x:v>4.91254752851711</x:v>
      </x:c>
      <x:c r="M825" s="6" t="str">
        <x:v>Included</x:v>
      </x:c>
    </x:row>
    <x:row r="826" ht="23" customHeight="1">
      <x:c r="B826" s="12" t="str">
        <x:v>7985</x:v>
      </x:c>
      <x:c r="C826" s="6" t="str">
        <x:v>Hawksbury Dr / Sheppard Ave E</x:v>
      </x:c>
      <x:c r="D826" s="6" t="n">
        <x:v>785</x:v>
      </x:c>
      <x:c r="E826" s="6" t="n">
        <x:v>702</x:v>
      </x:c>
      <x:c r="F826" s="6" t="n">
        <x:v>83</x:v>
      </x:c>
      <x:c r="G826" s="6" t="n">
        <x:v>11</x:v>
      </x:c>
      <x:c r="H826" s="6" t="n">
        <x:v>115</x:v>
      </x:c>
      <x:c r="I826" s="6" t="n">
        <x:v>5632</x:v>
      </x:c>
      <x:c r="J826" s="11" t="n">
        <x:f>E826/D826</x:f>
        <x:v>0.8942675159235669</x:v>
      </x:c>
      <x:c r="K826" s="11" t="n">
        <x:f>F826/D826</x:f>
        <x:v>0.10573248407643313</x:v>
      </x:c>
      <x:c r="L826" s="13" t="n">
        <x:f>I826/D826</x:f>
        <x:v>7.174522292993631</x:v>
      </x:c>
      <x:c r="M826" s="6" t="str">
        <x:v>Included</x:v>
      </x:c>
    </x:row>
    <x:row r="827" ht="23" customHeight="1">
      <x:c r="B827" s="12" t="str">
        <x:v>7986</x:v>
      </x:c>
      <x:c r="C827" s="6" t="str">
        <x:v>Sheppard Ave E / Leslie St</x:v>
      </x:c>
      <x:c r="D827" s="6" t="n">
        <x:v>798</x:v>
      </x:c>
      <x:c r="E827" s="6" t="n">
        <x:v>740</x:v>
      </x:c>
      <x:c r="F827" s="6" t="n">
        <x:v>58</x:v>
      </x:c>
      <x:c r="G827" s="6" t="n">
        <x:v>11</x:v>
      </x:c>
      <x:c r="H827" s="6" t="n">
        <x:v>114</x:v>
      </x:c>
      <x:c r="I827" s="6" t="n">
        <x:v>5938</x:v>
      </x:c>
      <x:c r="J827" s="11" t="n">
        <x:f>E827/D827</x:f>
        <x:v>0.9273182957393483</x:v>
      </x:c>
      <x:c r="K827" s="11" t="n">
        <x:f>F827/D827</x:f>
        <x:v>0.07268170426065163</x:v>
      </x:c>
      <x:c r="L827" s="13" t="n">
        <x:f>I827/D827</x:f>
        <x:v>7.4411027568922306</x:v>
      </x:c>
      <x:c r="M827" s="6" t="str">
        <x:v>Included</x:v>
      </x:c>
    </x:row>
    <x:row r="828" ht="23" customHeight="1">
      <x:c r="B828" s="12" t="str">
        <x:v>7987</x:v>
      </x:c>
      <x:c r="C828" s="6" t="str">
        <x:v>Shaughnessy Blvd / Sheppard Ave E</x:v>
      </x:c>
      <x:c r="D828" s="6" t="n">
        <x:v>786</x:v>
      </x:c>
      <x:c r="E828" s="6" t="n">
        <x:v>786</x:v>
      </x:c>
      <x:c r="F828" s="6" t="n">
        <x:v>0</x:v>
      </x:c>
      <x:c r="G828" s="6" t="n">
        <x:v>11</x:v>
      </x:c>
      <x:c r="H828" s="6" t="n">
        <x:v>113</x:v>
      </x:c>
      <x:c r="I828" s="6" t="n">
        <x:v>9889</x:v>
      </x:c>
      <x:c r="J828" s="11" t="n">
        <x:f>E828/D828</x:f>
        <x:v>1</x:v>
      </x:c>
      <x:c r="K828" s="11" t="n">
        <x:f>F828/D828</x:f>
        <x:v>0</x:v>
      </x:c>
      <x:c r="L828" s="13" t="n">
        <x:f>I828/D828</x:f>
        <x:v>12.58142493638677</x:v>
      </x:c>
      <x:c r="M828" s="6" t="str">
        <x:v>Included</x:v>
      </x:c>
    </x:row>
    <x:row r="829" ht="23" customHeight="1">
      <x:c r="B829" s="12" t="str">
        <x:v>7988</x:v>
      </x:c>
      <x:c r="C829" s="6" t="str">
        <x:v>Brahms Ave / Finch Ave E</x:v>
      </x:c>
      <x:c r="D829" s="6" t="n">
        <x:v>787</x:v>
      </x:c>
      <x:c r="E829" s="6" t="n">
        <x:v>787</x:v>
      </x:c>
      <x:c r="F829" s="6" t="n">
        <x:v>0</x:v>
      </x:c>
      <x:c r="G829" s="6" t="n">
        <x:v>11</x:v>
      </x:c>
      <x:c r="H829" s="6" t="n">
        <x:v>115</x:v>
      </x:c>
      <x:c r="I829" s="6" t="n">
        <x:v>12693</x:v>
      </x:c>
      <x:c r="J829" s="11" t="n">
        <x:f>E829/D829</x:f>
        <x:v>1</x:v>
      </x:c>
      <x:c r="K829" s="11" t="n">
        <x:f>F829/D829</x:f>
        <x:v>0</x:v>
      </x:c>
      <x:c r="L829" s="13" t="n">
        <x:f>I829/D829</x:f>
        <x:v>16.12833545108005</x:v>
      </x:c>
      <x:c r="M829" s="6" t="str">
        <x:v>Included</x:v>
      </x:c>
    </x:row>
    <x:row r="830" ht="23" customHeight="1">
      <x:c r="B830" s="12" t="str">
        <x:v>7989</x:v>
      </x:c>
      <x:c r="C830" s="6" t="str">
        <x:v>Don Mills Rd / Fairview Mall Dr</x:v>
      </x:c>
      <x:c r="D830" s="6" t="n">
        <x:v>790</x:v>
      </x:c>
      <x:c r="E830" s="6" t="n">
        <x:v>790</x:v>
      </x:c>
      <x:c r="F830" s="6" t="n">
        <x:v>0</x:v>
      </x:c>
      <x:c r="G830" s="6" t="n">
        <x:v>11</x:v>
      </x:c>
      <x:c r="H830" s="6" t="n">
        <x:v>115</x:v>
      </x:c>
      <x:c r="I830" s="6" t="n">
        <x:v>11278</x:v>
      </x:c>
      <x:c r="J830" s="11" t="n">
        <x:f>E830/D830</x:f>
        <x:v>1</x:v>
      </x:c>
      <x:c r="K830" s="11" t="n">
        <x:f>F830/D830</x:f>
        <x:v>0</x:v>
      </x:c>
      <x:c r="L830" s="13" t="n">
        <x:f>I830/D830</x:f>
        <x:v>14.275949367088607</x:v>
      </x:c>
      <x:c r="M830" s="6" t="str">
        <x:v>Included</x:v>
      </x:c>
    </x:row>
    <x:row r="831" ht="23" customHeight="1">
      <x:c r="B831" s="12" t="str">
        <x:v>7990</x:v>
      </x:c>
      <x:c r="C831" s="6" t="str">
        <x:v>Don Mills Rd / Goodview Rd</x:v>
      </x:c>
      <x:c r="D831" s="6" t="n">
        <x:v>786</x:v>
      </x:c>
      <x:c r="E831" s="6" t="n">
        <x:v>786</x:v>
      </x:c>
      <x:c r="F831" s="6" t="n">
        <x:v>0</x:v>
      </x:c>
      <x:c r="G831" s="6" t="n">
        <x:v>11</x:v>
      </x:c>
      <x:c r="H831" s="6" t="n">
        <x:v>114</x:v>
      </x:c>
      <x:c r="I831" s="6" t="n">
        <x:v>7182</x:v>
      </x:c>
      <x:c r="J831" s="11" t="n">
        <x:f>E831/D831</x:f>
        <x:v>1</x:v>
      </x:c>
      <x:c r="K831" s="11" t="n">
        <x:f>F831/D831</x:f>
        <x:v>0</x:v>
      </x:c>
      <x:c r="L831" s="13" t="n">
        <x:f>I831/D831</x:f>
        <x:v>9.13740458015267</x:v>
      </x:c>
      <x:c r="M831" s="6" t="str">
        <x:v>Included</x:v>
      </x:c>
    </x:row>
    <x:row r="832" ht="23" customHeight="1">
      <x:c r="B832" s="12" t="str">
        <x:v>7991</x:v>
      </x:c>
      <x:c r="C832" s="6" t="str">
        <x:v>Kingston Rd / Markham Rd</x:v>
      </x:c>
      <x:c r="D832" s="6" t="n">
        <x:v>790</x:v>
      </x:c>
      <x:c r="E832" s="6" t="n">
        <x:v>790</x:v>
      </x:c>
      <x:c r="F832" s="6" t="n">
        <x:v>0</x:v>
      </x:c>
      <x:c r="G832" s="6" t="n">
        <x:v>11</x:v>
      </x:c>
      <x:c r="H832" s="6" t="n">
        <x:v>116</x:v>
      </x:c>
      <x:c r="I832" s="6" t="n">
        <x:v>8380</x:v>
      </x:c>
      <x:c r="J832" s="11" t="n">
        <x:f>E832/D832</x:f>
        <x:v>1</x:v>
      </x:c>
      <x:c r="K832" s="11" t="n">
        <x:f>F832/D832</x:f>
        <x:v>0</x:v>
      </x:c>
      <x:c r="L832" s="13" t="n">
        <x:f>I832/D832</x:f>
        <x:v>10.60759493670886</x:v>
      </x:c>
      <x:c r="M832" s="6" t="str">
        <x:v>Included</x:v>
      </x:c>
    </x:row>
    <x:row r="833" ht="23" customHeight="1">
      <x:c r="B833" s="12" t="str">
        <x:v>7992</x:v>
      </x:c>
      <x:c r="C833" s="6" t="str">
        <x:v>Fairglen Cres / Weston Rd</x:v>
      </x:c>
      <x:c r="D833" s="6" t="n">
        <x:v>787</x:v>
      </x:c>
      <x:c r="E833" s="6" t="n">
        <x:v>787</x:v>
      </x:c>
      <x:c r="F833" s="6" t="n">
        <x:v>0</x:v>
      </x:c>
      <x:c r="G833" s="6" t="n">
        <x:v>11</x:v>
      </x:c>
      <x:c r="H833" s="6" t="n">
        <x:v>114</x:v>
      </x:c>
      <x:c r="I833" s="6" t="n">
        <x:v>5431</x:v>
      </x:c>
      <x:c r="J833" s="11" t="n">
        <x:f>E833/D833</x:f>
        <x:v>1</x:v>
      </x:c>
      <x:c r="K833" s="11" t="n">
        <x:f>F833/D833</x:f>
        <x:v>0</x:v>
      </x:c>
      <x:c r="L833" s="13" t="n">
        <x:f>I833/D833</x:f>
        <x:v>6.900889453621347</x:v>
      </x:c>
      <x:c r="M833" s="6" t="str">
        <x:v>Included</x:v>
      </x:c>
    </x:row>
    <x:row r="834" ht="23" customHeight="1">
      <x:c r="B834" s="12" t="str">
        <x:v>7993</x:v>
      </x:c>
      <x:c r="C834" s="6" t="str">
        <x:v>Wells St / Brunswick Ave</x:v>
      </x:c>
      <x:c r="D834" s="6" t="n">
        <x:v>787</x:v>
      </x:c>
      <x:c r="E834" s="6" t="n">
        <x:v>787</x:v>
      </x:c>
      <x:c r="F834" s="6" t="n">
        <x:v>0</x:v>
      </x:c>
      <x:c r="G834" s="6" t="n">
        <x:v>11</x:v>
      </x:c>
      <x:c r="H834" s="6" t="n">
        <x:v>114</x:v>
      </x:c>
      <x:c r="I834" s="6" t="n">
        <x:v>9296</x:v>
      </x:c>
      <x:c r="J834" s="11" t="n">
        <x:f>E834/D834</x:f>
        <x:v>1</x:v>
      </x:c>
      <x:c r="K834" s="11" t="n">
        <x:f>F834/D834</x:f>
        <x:v>0</x:v>
      </x:c>
      <x:c r="L834" s="13" t="n">
        <x:f>I834/D834</x:f>
        <x:v>11.811944091486659</x:v>
      </x:c>
      <x:c r="M834" s="6" t="str">
        <x:v>Included</x:v>
      </x:c>
    </x:row>
    <x:row r="835" ht="23" customHeight="1">
      <x:c r="B835" s="12" t="str">
        <x:v>7994</x:v>
      </x:c>
      <x:c r="C835" s="6" t="str">
        <x:v>Eglinton Ave E / Victoria Park Ave</x:v>
      </x:c>
      <x:c r="D835" s="6" t="n">
        <x:v>785</x:v>
      </x:c>
      <x:c r="E835" s="6" t="n">
        <x:v>785</x:v>
      </x:c>
      <x:c r="F835" s="6" t="n">
        <x:v>0</x:v>
      </x:c>
      <x:c r="G835" s="6" t="n">
        <x:v>11</x:v>
      </x:c>
      <x:c r="H835" s="6" t="n">
        <x:v>114</x:v>
      </x:c>
      <x:c r="I835" s="6" t="n">
        <x:v>8232</x:v>
      </x:c>
      <x:c r="J835" s="11" t="n">
        <x:f>E835/D835</x:f>
        <x:v>1</x:v>
      </x:c>
      <x:c r="K835" s="11" t="n">
        <x:f>F835/D835</x:f>
        <x:v>0</x:v>
      </x:c>
      <x:c r="L835" s="13" t="n">
        <x:f>I835/D835</x:f>
        <x:v>10.486624203821655</x:v>
      </x:c>
      <x:c r="M835" s="6" t="str">
        <x:v>Included</x:v>
      </x:c>
    </x:row>
    <x:row r="836" ht="23" customHeight="1">
      <x:c r="B836" s="12" t="str">
        <x:v>7995</x:v>
      </x:c>
      <x:c r="C836" s="6" t="str">
        <x:v>Eglinton Ave W / Oakwood Ave</x:v>
      </x:c>
      <x:c r="D836" s="6" t="n">
        <x:v>784</x:v>
      </x:c>
      <x:c r="E836" s="6" t="n">
        <x:v>784</x:v>
      </x:c>
      <x:c r="F836" s="6" t="n">
        <x:v>0</x:v>
      </x:c>
      <x:c r="G836" s="6" t="n">
        <x:v>11</x:v>
      </x:c>
      <x:c r="H836" s="6" t="n">
        <x:v>114</x:v>
      </x:c>
      <x:c r="I836" s="6" t="n">
        <x:v>10456</x:v>
      </x:c>
      <x:c r="J836" s="11" t="n">
        <x:f>E836/D836</x:f>
        <x:v>1</x:v>
      </x:c>
      <x:c r="K836" s="11" t="n">
        <x:f>F836/D836</x:f>
        <x:v>0</x:v>
      </x:c>
      <x:c r="L836" s="13" t="n">
        <x:f>I836/D836</x:f>
        <x:v>13.33673469387755</x:v>
      </x:c>
      <x:c r="M836" s="6" t="str">
        <x:v>Included</x:v>
      </x:c>
    </x:row>
    <x:row r="837" ht="23" customHeight="1">
      <x:c r="B837" s="12" t="str">
        <x:v>7996</x:v>
      </x:c>
      <x:c r="C837" s="6" t="str">
        <x:v>Scarborough GO Station</x:v>
      </x:c>
      <x:c r="D837" s="6" t="n">
        <x:v>792</x:v>
      </x:c>
      <x:c r="E837" s="6" t="n">
        <x:v>721</x:v>
      </x:c>
      <x:c r="F837" s="6" t="n">
        <x:v>71</x:v>
      </x:c>
      <x:c r="G837" s="6" t="n">
        <x:v>11</x:v>
      </x:c>
      <x:c r="H837" s="6" t="n">
        <x:v>115</x:v>
      </x:c>
      <x:c r="I837" s="6" t="n">
        <x:v>7458</x:v>
      </x:c>
      <x:c r="J837" s="11" t="n">
        <x:f>E837/D837</x:f>
        <x:v>0.9103535353535354</x:v>
      </x:c>
      <x:c r="K837" s="11" t="n">
        <x:f>F837/D837</x:f>
        <x:v>0.08964646464646464</x:v>
      </x:c>
      <x:c r="L837" s="13" t="n">
        <x:f>I837/D837</x:f>
        <x:v>9.416666666666666</x:v>
      </x:c>
      <x:c r="M837" s="6" t="str">
        <x:v>Included</x:v>
      </x:c>
    </x:row>
    <x:row r="838" ht="23" customHeight="1">
      <x:c r="B838" s="12" t="str">
        <x:v>7997</x:v>
      </x:c>
      <x:c r="C838" s="6" t="str">
        <x:v>3220 Bloor St W</x:v>
      </x:c>
      <x:c r="D838" s="6" t="n">
        <x:v>793</x:v>
      </x:c>
      <x:c r="E838" s="6" t="n">
        <x:v>792</x:v>
      </x:c>
      <x:c r="F838" s="6" t="n">
        <x:v>1</x:v>
      </x:c>
      <x:c r="G838" s="6" t="n">
        <x:v>11</x:v>
      </x:c>
      <x:c r="H838" s="6" t="n">
        <x:v>114</x:v>
      </x:c>
      <x:c r="I838" s="6" t="n">
        <x:v>10836</x:v>
      </x:c>
      <x:c r="J838" s="11" t="n">
        <x:f>E838/D838</x:f>
        <x:v>0.9987389659520807</x:v>
      </x:c>
      <x:c r="K838" s="11" t="n">
        <x:f>F838/D838</x:f>
        <x:v>0.0012610340479192938</x:v>
      </x:c>
      <x:c r="L838" s="13" t="n">
        <x:f>I838/D838</x:f>
        <x:v>13.664564943253469</x:v>
      </x:c>
      <x:c r="M838" s="6" t="str">
        <x:v>Included</x:v>
      </x:c>
    </x:row>
    <x:row r="839" ht="23" customHeight="1">
      <x:c r="B839" s="12" t="str">
        <x:v>7998</x:v>
      </x:c>
      <x:c r="C839" s="6" t="str">
        <x:v>Eglinton West Subway Station</x:v>
      </x:c>
      <x:c r="D839" s="6" t="n">
        <x:v>779</x:v>
      </x:c>
      <x:c r="E839" s="6" t="n">
        <x:v>779</x:v>
      </x:c>
      <x:c r="F839" s="6" t="n">
        <x:v>0</x:v>
      </x:c>
      <x:c r="G839" s="6" t="n">
        <x:v>11</x:v>
      </x:c>
      <x:c r="H839" s="6" t="n">
        <x:v>114</x:v>
      </x:c>
      <x:c r="I839" s="6" t="n">
        <x:v>13684</x:v>
      </x:c>
      <x:c r="J839" s="11" t="n">
        <x:f>E839/D839</x:f>
        <x:v>1</x:v>
      </x:c>
      <x:c r="K839" s="11" t="n">
        <x:f>F839/D839</x:f>
        <x:v>0</x:v>
      </x:c>
      <x:c r="L839" s="13" t="n">
        <x:f>I839/D839</x:f>
        <x:v>17.566110397946083</x:v>
      </x:c>
      <x:c r="M839" s="6" t="str">
        <x:v>Included</x:v>
      </x:c>
    </x:row>
    <x:row r="840" ht="23" customHeight="1">
      <x:c r="B840" s="12" t="str">
        <x:v>7999</x:v>
      </x:c>
      <x:c r="C840" s="6" t="str">
        <x:v>Lawrence Ave W / Marlee Ave</x:v>
      </x:c>
      <x:c r="D840" s="6" t="n">
        <x:v>790</x:v>
      </x:c>
      <x:c r="E840" s="6" t="n">
        <x:v>790</x:v>
      </x:c>
      <x:c r="F840" s="6" t="n">
        <x:v>0</x:v>
      </x:c>
      <x:c r="G840" s="6" t="n">
        <x:v>11</x:v>
      </x:c>
      <x:c r="H840" s="6" t="n">
        <x:v>114</x:v>
      </x:c>
      <x:c r="I840" s="6" t="n">
        <x:v>10882</x:v>
      </x:c>
      <x:c r="J840" s="11" t="n">
        <x:f>E840/D840</x:f>
        <x:v>1</x:v>
      </x:c>
      <x:c r="K840" s="11" t="n">
        <x:f>F840/D840</x:f>
        <x:v>0</x:v>
      </x:c>
      <x:c r="L840" s="13" t="n">
        <x:f>I840/D840</x:f>
        <x:v>13.774683544303798</x:v>
      </x:c>
      <x:c r="M840" s="6" t="str">
        <x:v>Included</x:v>
      </x:c>
    </x:row>
    <x:row r="841" ht="23" customHeight="1">
      <x:c r="B841" s="12" t="str">
        <x:v>8000</x:v>
      </x:c>
      <x:c r="C841" s="6" t="str">
        <x:v>16 Riverview Gardens</x:v>
      </x:c>
      <x:c r="D841" s="6" t="n">
        <x:v>795</x:v>
      </x:c>
      <x:c r="E841" s="6" t="n">
        <x:v>698</x:v>
      </x:c>
      <x:c r="F841" s="6" t="n">
        <x:v>97</x:v>
      </x:c>
      <x:c r="G841" s="6" t="n">
        <x:v>11</x:v>
      </x:c>
      <x:c r="H841" s="6" t="n">
        <x:v>114</x:v>
      </x:c>
      <x:c r="I841" s="6" t="n">
        <x:v>8615</x:v>
      </x:c>
      <x:c r="J841" s="11" t="n">
        <x:f>E841/D841</x:f>
        <x:v>0.8779874213836478</x:v>
      </x:c>
      <x:c r="K841" s="11" t="n">
        <x:f>F841/D841</x:f>
        <x:v>0.1220125786163522</x:v>
      </x:c>
      <x:c r="L841" s="13" t="n">
        <x:f>I841/D841</x:f>
        <x:v>10.836477987421384</x:v>
      </x:c>
      <x:c r="M841" s="6" t="str">
        <x:v>Included</x:v>
      </x:c>
    </x:row>
    <x:row r="842" ht="23" customHeight="1">
      <x:c r="B842" s="12" t="str">
        <x:v>8001</x:v>
      </x:c>
      <x:c r="C842" s="6" t="str">
        <x:v>Union Station (North) - SMART</x:v>
      </x:c>
      <x:c r="D842" s="6" t="n">
        <x:v>786</x:v>
      </x:c>
      <x:c r="E842" s="6" t="n">
        <x:v>735</x:v>
      </x:c>
      <x:c r="F842" s="6" t="n">
        <x:v>51</x:v>
      </x:c>
      <x:c r="G842" s="6" t="n">
        <x:v>11</x:v>
      </x:c>
      <x:c r="H842" s="6" t="n">
        <x:v>114</x:v>
      </x:c>
      <x:c r="I842" s="6" t="n">
        <x:v>6543</x:v>
      </x:c>
      <x:c r="J842" s="11" t="n">
        <x:f>E842/D842</x:f>
        <x:v>0.9351145038167938</x:v>
      </x:c>
      <x:c r="K842" s="11" t="n">
        <x:f>F842/D842</x:f>
        <x:v>0.0648854961832061</x:v>
      </x:c>
      <x:c r="L842" s="13" t="n">
        <x:f>I842/D842</x:f>
        <x:v>8.32442748091603</x:v>
      </x:c>
      <x:c r="M842" s="6" t="str">
        <x:v>Included</x:v>
      </x:c>
    </x:row>
    <x:row r="843" ht="23" customHeight="1">
      <x:c r="B843" s="12" t="str">
        <x:v>8002</x:v>
      </x:c>
      <x:c r="C843" s="6" t="str">
        <x:v>Grantbrook St / Finch Hydro Corridor Trail</x:v>
      </x:c>
      <x:c r="D843" s="6" t="n">
        <x:v>787</x:v>
      </x:c>
      <x:c r="E843" s="6" t="n">
        <x:v>787</x:v>
      </x:c>
      <x:c r="F843" s="6" t="n">
        <x:v>0</x:v>
      </x:c>
      <x:c r="G843" s="6" t="n">
        <x:v>11</x:v>
      </x:c>
      <x:c r="H843" s="6" t="n">
        <x:v>115</x:v>
      </x:c>
      <x:c r="I843" s="6" t="n">
        <x:v>10253</x:v>
      </x:c>
      <x:c r="J843" s="11" t="n">
        <x:f>E843/D843</x:f>
        <x:v>1</x:v>
      </x:c>
      <x:c r="K843" s="11" t="n">
        <x:f>F843/D843</x:f>
        <x:v>0</x:v>
      </x:c>
      <x:c r="L843" s="13" t="n">
        <x:f>I843/D843</x:f>
        <x:v>13.027954256670903</x:v>
      </x:c>
      <x:c r="M843" s="6" t="str">
        <x:v>Included</x:v>
      </x:c>
    </x:row>
    <x:row r="844" ht="23" customHeight="1">
      <x:c r="B844" s="12" t="str">
        <x:v>8003</x:v>
      </x:c>
      <x:c r="C844" s="6" t="str">
        <x:v>Tecumseth St / Tecumseth Pl</x:v>
      </x:c>
      <x:c r="D844" s="6" t="n">
        <x:v>794</x:v>
      </x:c>
      <x:c r="E844" s="6" t="n">
        <x:v>630</x:v>
      </x:c>
      <x:c r="F844" s="6" t="n">
        <x:v>164</x:v>
      </x:c>
      <x:c r="G844" s="6" t="n">
        <x:v>11</x:v>
      </x:c>
      <x:c r="H844" s="6" t="n">
        <x:v>115</x:v>
      </x:c>
      <x:c r="I844" s="6" t="n">
        <x:v>2883</x:v>
      </x:c>
      <x:c r="J844" s="11" t="n">
        <x:f>E844/D844</x:f>
        <x:v>0.7934508816120907</x:v>
      </x:c>
      <x:c r="K844" s="11" t="n">
        <x:f>F844/D844</x:f>
        <x:v>0.20654911838790932</x:v>
      </x:c>
      <x:c r="L844" s="13" t="n">
        <x:f>I844/D844</x:f>
        <x:v>3.6309823677581865</x:v>
      </x:c>
      <x:c r="M844" s="6" t="str">
        <x:v>Included</x:v>
      </x:c>
    </x:row>
    <x:row r="845" ht="23" customHeight="1">
      <x:c r="B845" s="12" t="str">
        <x:v>8004</x:v>
      </x:c>
      <x:c r="C845" s="6" t="str">
        <x:v>21 Pleasant Blvd (1)</x:v>
      </x:c>
      <x:c r="D845" s="6" t="n">
        <x:v>785</x:v>
      </x:c>
      <x:c r="E845" s="6" t="n">
        <x:v>709</x:v>
      </x:c>
      <x:c r="F845" s="6" t="n">
        <x:v>76</x:v>
      </x:c>
      <x:c r="G845" s="6" t="n">
        <x:v>11</x:v>
      </x:c>
      <x:c r="H845" s="6" t="n">
        <x:v>114</x:v>
      </x:c>
      <x:c r="I845" s="6" t="n">
        <x:v>4323</x:v>
      </x:c>
      <x:c r="J845" s="11" t="n">
        <x:f>E845/D845</x:f>
        <x:v>0.9031847133757962</x:v>
      </x:c>
      <x:c r="K845" s="11" t="n">
        <x:f>F845/D845</x:f>
        <x:v>0.09681528662420383</x:v>
      </x:c>
      <x:c r="L845" s="13" t="n">
        <x:f>I845/D845</x:f>
        <x:v>5.507006369426752</x:v>
      </x:c>
      <x:c r="M845" s="6" t="str">
        <x:v>Included</x:v>
      </x:c>
    </x:row>
    <x:row r="846" ht="23" customHeight="1">
      <x:c r="B846" s="12" t="str">
        <x:v>8005</x:v>
      </x:c>
      <x:c r="C846" s="6" t="str">
        <x:v>21 Pleasant Blvd (2)</x:v>
      </x:c>
      <x:c r="D846" s="6" t="n">
        <x:v>800</x:v>
      </x:c>
      <x:c r="E846" s="6" t="n">
        <x:v>760</x:v>
      </x:c>
      <x:c r="F846" s="6" t="n">
        <x:v>40</x:v>
      </x:c>
      <x:c r="G846" s="6" t="n">
        <x:v>11</x:v>
      </x:c>
      <x:c r="H846" s="6" t="n">
        <x:v>114</x:v>
      </x:c>
      <x:c r="I846" s="6" t="n">
        <x:v>5173</x:v>
      </x:c>
      <x:c r="J846" s="11" t="n">
        <x:f>E846/D846</x:f>
        <x:v>0.95</x:v>
      </x:c>
      <x:c r="K846" s="11" t="n">
        <x:f>F846/D846</x:f>
        <x:v>0.05</x:v>
      </x:c>
      <x:c r="L846" s="13" t="n">
        <x:f>I846/D846</x:f>
        <x:v>6.46625</x:v>
      </x:c>
      <x:c r="M846" s="6" t="str">
        <x:v>Included</x:v>
      </x:c>
    </x:row>
    <x:row r="847" ht="23" customHeight="1">
      <x:c r="B847" s="12" t="str">
        <x:v>8006</x:v>
      </x:c>
      <x:c r="C847" s="6" t="str">
        <x:v>803 Richmond St W</x:v>
      </x:c>
      <x:c r="D847" s="6" t="n">
        <x:v>789</x:v>
      </x:c>
      <x:c r="E847" s="6" t="n">
        <x:v>523</x:v>
      </x:c>
      <x:c r="F847" s="6" t="n">
        <x:v>266</x:v>
      </x:c>
      <x:c r="G847" s="6" t="n">
        <x:v>11</x:v>
      </x:c>
      <x:c r="H847" s="6" t="n">
        <x:v>113</x:v>
      </x:c>
      <x:c r="I847" s="6" t="n">
        <x:v>5574</x:v>
      </x:c>
      <x:c r="J847" s="11" t="n">
        <x:f>E847/D847</x:f>
        <x:v>0.6628643852978454</x:v>
      </x:c>
      <x:c r="K847" s="11" t="n">
        <x:f>F847/D847</x:f>
        <x:v>0.33713561470215464</x:v>
      </x:c>
      <x:c r="L847" s="13" t="n">
        <x:f>I847/D847</x:f>
        <x:v>7.064638783269962</x:v>
      </x:c>
      <x:c r="M847" s="6" t="str">
        <x:v>Included</x:v>
      </x:c>
    </x:row>
    <x:row r="848" ht="23" customHeight="1">
      <x:c r="B848" s="12" t="str">
        <x:v>8007</x:v>
      </x:c>
      <x:c r="C848" s="6" t="str">
        <x:v>385 Pacific Ave</x:v>
      </x:c>
      <x:c r="D848" s="6" t="n">
        <x:v>795</x:v>
      </x:c>
      <x:c r="E848" s="6" t="n">
        <x:v>671</x:v>
      </x:c>
      <x:c r="F848" s="6" t="n">
        <x:v>124</x:v>
      </x:c>
      <x:c r="G848" s="6" t="n">
        <x:v>11</x:v>
      </x:c>
      <x:c r="H848" s="6" t="n">
        <x:v>114</x:v>
      </x:c>
      <x:c r="I848" s="6" t="n">
        <x:v>7628</x:v>
      </x:c>
      <x:c r="J848" s="11" t="n">
        <x:f>E848/D848</x:f>
        <x:v>0.8440251572327044</x:v>
      </x:c>
      <x:c r="K848" s="11" t="n">
        <x:f>F848/D848</x:f>
        <x:v>0.1559748427672956</x:v>
      </x:c>
      <x:c r="L848" s="13" t="n">
        <x:f>I848/D848</x:f>
        <x:v>9.59496855345912</x:v>
      </x:c>
      <x:c r="M848" s="6" t="str">
        <x:v>Included</x:v>
      </x:c>
    </x:row>
    <x:row r="849" ht="23" customHeight="1">
      <x:c r="B849" s="12" t="str">
        <x:v>8008</x:v>
      </x:c>
      <x:c r="C849" s="6" t="str">
        <x:v>Brookdale Ave / Yonge St</x:v>
      </x:c>
      <x:c r="D849" s="6" t="n">
        <x:v>787</x:v>
      </x:c>
      <x:c r="E849" s="6" t="n">
        <x:v>787</x:v>
      </x:c>
      <x:c r="F849" s="6" t="n">
        <x:v>0</x:v>
      </x:c>
      <x:c r="G849" s="6" t="n">
        <x:v>11</x:v>
      </x:c>
      <x:c r="H849" s="6" t="n">
        <x:v>115</x:v>
      </x:c>
      <x:c r="I849" s="6" t="n">
        <x:v>11155</x:v>
      </x:c>
      <x:c r="J849" s="11" t="n">
        <x:f>E849/D849</x:f>
        <x:v>1</x:v>
      </x:c>
      <x:c r="K849" s="11" t="n">
        <x:f>F849/D849</x:f>
        <x:v>0</x:v>
      </x:c>
      <x:c r="L849" s="13" t="n">
        <x:f>I849/D849</x:f>
        <x:v>14.17407878017789</x:v>
      </x:c>
      <x:c r="M849" s="6" t="str">
        <x:v>Included</x:v>
      </x:c>
    </x:row>
    <x:row r="850" ht="23" customHeight="1">
      <x:c r="B850" s="12" t="str">
        <x:v>8009</x:v>
      </x:c>
      <x:c r="C850" s="6" t="str">
        <x:v>1 Shortt St</x:v>
      </x:c>
      <x:c r="D850" s="6" t="n">
        <x:v>795</x:v>
      </x:c>
      <x:c r="E850" s="6" t="n">
        <x:v>790</x:v>
      </x:c>
      <x:c r="F850" s="6" t="n">
        <x:v>5</x:v>
      </x:c>
      <x:c r="G850" s="6" t="n">
        <x:v>11</x:v>
      </x:c>
      <x:c r="H850" s="6" t="n">
        <x:v>114</x:v>
      </x:c>
      <x:c r="I850" s="6" t="n">
        <x:v>11269</x:v>
      </x:c>
      <x:c r="J850" s="11" t="n">
        <x:f>E850/D850</x:f>
        <x:v>0.9937106918238994</x:v>
      </x:c>
      <x:c r="K850" s="11" t="n">
        <x:f>F850/D850</x:f>
        <x:v>0.006289308176100629</x:v>
      </x:c>
      <x:c r="L850" s="13" t="n">
        <x:f>I850/D850</x:f>
        <x:v>14.174842767295598</x:v>
      </x:c>
      <x:c r="M850" s="6" t="str">
        <x:v>Included</x:v>
      </x:c>
    </x:row>
    <x:row r="851" ht="23" customHeight="1">
      <x:c r="B851" s="12" t="str">
        <x:v>8010</x:v>
      </x:c>
      <x:c r="C851" s="6" t="str">
        <x:v>Finch Ave W / Bathurst St</x:v>
      </x:c>
      <x:c r="D851" s="6" t="n">
        <x:v>793</x:v>
      </x:c>
      <x:c r="E851" s="6" t="n">
        <x:v>793</x:v>
      </x:c>
      <x:c r="F851" s="6" t="n">
        <x:v>0</x:v>
      </x:c>
      <x:c r="G851" s="6" t="n">
        <x:v>11</x:v>
      </x:c>
      <x:c r="H851" s="6" t="n">
        <x:v>115</x:v>
      </x:c>
      <x:c r="I851" s="6" t="n">
        <x:v>14001</x:v>
      </x:c>
      <x:c r="J851" s="11" t="n">
        <x:f>E851/D851</x:f>
        <x:v>1</x:v>
      </x:c>
      <x:c r="K851" s="11" t="n">
        <x:f>F851/D851</x:f>
        <x:v>0</x:v>
      </x:c>
      <x:c r="L851" s="13" t="n">
        <x:f>I851/D851</x:f>
        <x:v>17.65573770491803</x:v>
      </x:c>
      <x:c r="M851" s="6" t="str">
        <x:v>Included</x:v>
      </x:c>
    </x:row>
    <x:row r="852" ht="23" customHeight="1">
      <x:c r="B852" s="12" t="str">
        <x:v>8011</x:v>
      </x:c>
      <x:c r="C852" s="6" t="str">
        <x:v>33 Queen St E</x:v>
      </x:c>
      <x:c r="D852" s="6" t="n">
        <x:v>791</x:v>
      </x:c>
      <x:c r="E852" s="6" t="n">
        <x:v>787</x:v>
      </x:c>
      <x:c r="F852" s="6" t="n">
        <x:v>4</x:v>
      </x:c>
      <x:c r="G852" s="6" t="n">
        <x:v>11</x:v>
      </x:c>
      <x:c r="H852" s="6" t="n">
        <x:v>114</x:v>
      </x:c>
      <x:c r="I852" s="6" t="n">
        <x:v>12168</x:v>
      </x:c>
      <x:c r="J852" s="11" t="n">
        <x:f>E852/D852</x:f>
        <x:v>0.9949431099873578</x:v>
      </x:c>
      <x:c r="K852" s="11" t="n">
        <x:f>F852/D852</x:f>
        <x:v>0.0050568900126422255</x:v>
      </x:c>
      <x:c r="L852" s="13" t="n">
        <x:f>I852/D852</x:f>
        <x:v>15.383059418457648</x:v>
      </x:c>
      <x:c r="M852" s="6" t="str">
        <x:v>Included</x:v>
      </x:c>
    </x:row>
    <x:row r="853" ht="23" customHeight="1">
      <x:c r="B853" s="12" t="str">
        <x:v>8012</x:v>
      </x:c>
      <x:c r="C853" s="6" t="str">
        <x:v>Cherry St / Polson St</x:v>
      </x:c>
      <x:c r="D853" s="6" t="n">
        <x:v>793</x:v>
      </x:c>
      <x:c r="E853" s="6" t="n">
        <x:v>736</x:v>
      </x:c>
      <x:c r="F853" s="6" t="n">
        <x:v>57</x:v>
      </x:c>
      <x:c r="G853" s="6" t="n">
        <x:v>11</x:v>
      </x:c>
      <x:c r="H853" s="6" t="n">
        <x:v>114</x:v>
      </x:c>
      <x:c r="I853" s="6" t="n">
        <x:v>5184</x:v>
      </x:c>
      <x:c r="J853" s="11" t="n">
        <x:f>E853/D853</x:f>
        <x:v>0.9281210592686002</x:v>
      </x:c>
      <x:c r="K853" s="11" t="n">
        <x:f>F853/D853</x:f>
        <x:v>0.07187894073139975</x:v>
      </x:c>
      <x:c r="L853" s="13" t="n">
        <x:f>I853/D853</x:f>
        <x:v>6.537200504413619</x:v>
      </x:c>
      <x:c r="M853" s="6" t="str">
        <x:v>Included</x:v>
      </x:c>
    </x:row>
    <x:row r="854" ht="23" customHeight="1">
      <x:c r="B854" s="12" t="str">
        <x:v>8013</x:v>
      </x:c>
      <x:c r="C854" s="6" t="str">
        <x:v>Logan Ave / Eastern Ave - SMART</x:v>
      </x:c>
      <x:c r="D854" s="6" t="n">
        <x:v>785</x:v>
      </x:c>
      <x:c r="E854" s="6" t="n">
        <x:v>438</x:v>
      </x:c>
      <x:c r="F854" s="6" t="n">
        <x:v>347</x:v>
      </x:c>
      <x:c r="G854" s="6" t="n">
        <x:v>11</x:v>
      </x:c>
      <x:c r="H854" s="6" t="n">
        <x:v>114</x:v>
      </x:c>
      <x:c r="I854" s="6" t="n">
        <x:v>1289</x:v>
      </x:c>
      <x:c r="J854" s="11" t="n">
        <x:f>E854/D854</x:f>
        <x:v>0.5579617834394904</x:v>
      </x:c>
      <x:c r="K854" s="11" t="n">
        <x:f>F854/D854</x:f>
        <x:v>0.44203821656050957</x:v>
      </x:c>
      <x:c r="L854" s="13" t="n">
        <x:f>I854/D854</x:f>
        <x:v>1.6420382165605096</x:v>
      </x:c>
      <x:c r="M854" s="6" t="str">
        <x:v>Included</x:v>
      </x:c>
    </x:row>
    <x:row r="855" ht="23" customHeight="1">
      <x:c r="B855" s="12" t="str">
        <x:v>8014</x:v>
      </x:c>
      <x:c r="C855" s="6" t="str">
        <x:v>Wellington St W / Blue Jays Way</x:v>
      </x:c>
      <x:c r="D855" s="6" t="n">
        <x:v>781</x:v>
      </x:c>
      <x:c r="E855" s="6" t="n">
        <x:v>625</x:v>
      </x:c>
      <x:c r="F855" s="6" t="n">
        <x:v>156</x:v>
      </x:c>
      <x:c r="G855" s="6" t="n">
        <x:v>11</x:v>
      </x:c>
      <x:c r="H855" s="6" t="n">
        <x:v>115</x:v>
      </x:c>
      <x:c r="I855" s="6" t="n">
        <x:v>5196</x:v>
      </x:c>
      <x:c r="J855" s="11" t="n">
        <x:f>E855/D855</x:f>
        <x:v>0.8002560819462228</x:v>
      </x:c>
      <x:c r="K855" s="11" t="n">
        <x:f>F855/D855</x:f>
        <x:v>0.1997439180537772</x:v>
      </x:c>
      <x:c r="L855" s="13" t="n">
        <x:f>I855/D855</x:f>
        <x:v>6.6530089628681175</x:v>
      </x:c>
      <x:c r="M855" s="6" t="str">
        <x:v>Included</x:v>
      </x:c>
    </x:row>
    <x:row r="856" ht="23" customHeight="1">
      <x:c r="B856" s="12" t="str">
        <x:v>8015</x:v>
      </x:c>
      <x:c r="C856" s="6" t="str">
        <x:v>Spadina Ave / Dundas St W - SMART</x:v>
      </x:c>
      <x:c r="D856" s="6" t="n">
        <x:v>761</x:v>
      </x:c>
      <x:c r="E856" s="6" t="n">
        <x:v>720</x:v>
      </x:c>
      <x:c r="F856" s="6" t="n">
        <x:v>41</x:v>
      </x:c>
      <x:c r="G856" s="6" t="n">
        <x:v>11</x:v>
      </x:c>
      <x:c r="H856" s="6" t="n">
        <x:v>113</x:v>
      </x:c>
      <x:c r="I856" s="6" t="n">
        <x:v>4532</x:v>
      </x:c>
      <x:c r="J856" s="11" t="n">
        <x:f>E856/D856</x:f>
        <x:v>0.9461235216819974</x:v>
      </x:c>
      <x:c r="K856" s="11" t="n">
        <x:f>F856/D856</x:f>
        <x:v>0.05387647831800263</x:v>
      </x:c>
      <x:c r="L856" s="13" t="n">
        <x:f>I856/D856</x:f>
        <x:v>5.955321944809461</x:v>
      </x:c>
      <x:c r="M856" s="6" t="str">
        <x:v>Included</x:v>
      </x:c>
    </x:row>
    <x:row r="857" ht="23" customHeight="1">
      <x:c r="B857" s="12" t="str">
        <x:v>8016</x:v>
      </x:c>
      <x:c r="C857" s="6" t="str">
        <x:v>Queens Quay E / Freeland St</x:v>
      </x:c>
      <x:c r="D857" s="6" t="n">
        <x:v>786</x:v>
      </x:c>
      <x:c r="E857" s="6" t="n">
        <x:v>767</x:v>
      </x:c>
      <x:c r="F857" s="6" t="n">
        <x:v>19</x:v>
      </x:c>
      <x:c r="G857" s="6" t="n">
        <x:v>11</x:v>
      </x:c>
      <x:c r="H857" s="6" t="n">
        <x:v>116</x:v>
      </x:c>
      <x:c r="I857" s="6" t="n">
        <x:v>5480</x:v>
      </x:c>
      <x:c r="J857" s="11" t="n">
        <x:f>E857/D857</x:f>
        <x:v>0.9758269720101781</x:v>
      </x:c>
      <x:c r="K857" s="11" t="n">
        <x:f>F857/D857</x:f>
        <x:v>0.024173027989821884</x:v>
      </x:c>
      <x:c r="L857" s="13" t="n">
        <x:f>I857/D857</x:f>
        <x:v>6.972010178117048</x:v>
      </x:c>
      <x:c r="M857" s="6" t="str">
        <x:v>Included</x:v>
      </x:c>
    </x:row>
    <x:row r="858" ht="23" customHeight="1">
      <x:c r="B858" s="12" t="str">
        <x:v>8017</x:v>
      </x:c>
      <x:c r="C858" s="6" t="str">
        <x:v>Pharmacy Ave / Eglinton Ave E</x:v>
      </x:c>
      <x:c r="D858" s="6" t="n">
        <x:v>795</x:v>
      </x:c>
      <x:c r="E858" s="6" t="n">
        <x:v>795</x:v>
      </x:c>
      <x:c r="F858" s="6" t="n">
        <x:v>0</x:v>
      </x:c>
      <x:c r="G858" s="6" t="n">
        <x:v>11</x:v>
      </x:c>
      <x:c r="H858" s="6" t="n">
        <x:v>116</x:v>
      </x:c>
      <x:c r="I858" s="6" t="n">
        <x:v>10478</x:v>
      </x:c>
      <x:c r="J858" s="11" t="n">
        <x:f>E858/D858</x:f>
        <x:v>1</x:v>
      </x:c>
      <x:c r="K858" s="11" t="n">
        <x:f>F858/D858</x:f>
        <x:v>0</x:v>
      </x:c>
      <x:c r="L858" s="13" t="n">
        <x:f>I858/D858</x:f>
        <x:v>13.179874213836477</x:v>
      </x:c>
      <x:c r="M858" s="6" t="str">
        <x:v>Included</x:v>
      </x:c>
    </x:row>
    <x:row r="859" ht="23" customHeight="1">
      <x:c r="B859" s="12" t="str">
        <x:v>8018</x:v>
      </x:c>
      <x:c r="C859" s="6" t="str">
        <x:v>Saulter St / Queen St E - SMART</x:v>
      </x:c>
      <x:c r="D859" s="6" t="n">
        <x:v>789</x:v>
      </x:c>
      <x:c r="E859" s="6" t="n">
        <x:v>423</x:v>
      </x:c>
      <x:c r="F859" s="6" t="n">
        <x:v>366</x:v>
      </x:c>
      <x:c r="G859" s="6" t="n">
        <x:v>11</x:v>
      </x:c>
      <x:c r="H859" s="6" t="n">
        <x:v>115</x:v>
      </x:c>
      <x:c r="I859" s="6" t="n">
        <x:v>1222</x:v>
      </x:c>
      <x:c r="J859" s="11" t="n">
        <x:f>E859/D859</x:f>
        <x:v>0.5361216730038023</x:v>
      </x:c>
      <x:c r="K859" s="11" t="n">
        <x:f>F859/D859</x:f>
        <x:v>0.46387832699619774</x:v>
      </x:c>
      <x:c r="L859" s="13" t="n">
        <x:f>I859/D859</x:f>
        <x:v>1.5487959442332067</x:v>
      </x:c>
      <x:c r="M859" s="6" t="str">
        <x:v>Included</x:v>
      </x:c>
    </x:row>
    <x:row r="860" ht="23" customHeight="1">
      <x:c r="B860" s="12" t="str">
        <x:v>8020</x:v>
      </x:c>
      <x:c r="C860" s="6" t="str">
        <x:v>Euclid Ave / Queen St W - SMART</x:v>
      </x:c>
      <x:c r="D860" s="6" t="n">
        <x:v>791</x:v>
      </x:c>
      <x:c r="E860" s="6" t="n">
        <x:v>648</x:v>
      </x:c>
      <x:c r="F860" s="6" t="n">
        <x:v>143</x:v>
      </x:c>
      <x:c r="G860" s="6" t="n">
        <x:v>11</x:v>
      </x:c>
      <x:c r="H860" s="6" t="n">
        <x:v>114</x:v>
      </x:c>
      <x:c r="I860" s="6" t="n">
        <x:v>2360</x:v>
      </x:c>
      <x:c r="J860" s="11" t="n">
        <x:f>E860/D860</x:f>
        <x:v>0.8192161820480405</x:v>
      </x:c>
      <x:c r="K860" s="11" t="n">
        <x:f>F860/D860</x:f>
        <x:v>0.18078381795195955</x:v>
      </x:c>
      <x:c r="L860" s="13" t="n">
        <x:f>I860/D860</x:f>
        <x:v>2.983565107458913</x:v>
      </x:c>
      <x:c r="M860" s="6" t="str">
        <x:v>Included</x:v>
      </x:c>
    </x:row>
    <x:row r="861" ht="23" customHeight="1">
      <x:c r="B861" s="12" t="str">
        <x:v>8021</x:v>
      </x:c>
      <x:c r="C861" s="6" t="str">
        <x:v>Torresdale Ave / Finch Ave W</x:v>
      </x:c>
      <x:c r="D861" s="6" t="n">
        <x:v>788</x:v>
      </x:c>
      <x:c r="E861" s="6" t="n">
        <x:v>788</x:v>
      </x:c>
      <x:c r="F861" s="6" t="n">
        <x:v>0</x:v>
      </x:c>
      <x:c r="G861" s="6" t="n">
        <x:v>11</x:v>
      </x:c>
      <x:c r="H861" s="6" t="n">
        <x:v>114</x:v>
      </x:c>
      <x:c r="I861" s="6" t="n">
        <x:v>13571</x:v>
      </x:c>
      <x:c r="J861" s="11" t="n">
        <x:f>E861/D861</x:f>
        <x:v>1</x:v>
      </x:c>
      <x:c r="K861" s="11" t="n">
        <x:f>F861/D861</x:f>
        <x:v>0</x:v>
      </x:c>
      <x:c r="L861" s="13" t="n">
        <x:f>I861/D861</x:f>
        <x:v>17.222081218274113</x:v>
      </x:c>
      <x:c r="M861" s="6" t="str">
        <x:v>Included</x:v>
      </x:c>
    </x:row>
    <x:row r="862" ht="23" customHeight="1">
      <x:c r="B862" s="12" t="str">
        <x:v>8022</x:v>
      </x:c>
      <x:c r="C862" s="6" t="str">
        <x:v>Sunrise Ave / Victoria Park Ave</x:v>
      </x:c>
      <x:c r="D862" s="6" t="n">
        <x:v>672</x:v>
      </x:c>
      <x:c r="E862" s="6" t="n">
        <x:v>672</x:v>
      </x:c>
      <x:c r="F862" s="6" t="n">
        <x:v>0</x:v>
      </x:c>
      <x:c r="G862" s="6" t="n">
        <x:v>9</x:v>
      </x:c>
      <x:c r="H862" s="6" t="n">
        <x:v>97</x:v>
      </x:c>
      <x:c r="I862" s="6" t="n">
        <x:v>7188</x:v>
      </x:c>
      <x:c r="J862" s="11" t="n">
        <x:f>E862/D862</x:f>
        <x:v>1</x:v>
      </x:c>
      <x:c r="K862" s="11" t="n">
        <x:f>F862/D862</x:f>
        <x:v>0</x:v>
      </x:c>
      <x:c r="L862" s="13" t="n">
        <x:f>I862/D862</x:f>
        <x:v>10.696428571428571</x:v>
      </x:c>
      <x:c r="M862" s="6" t="str">
        <x:v>Included</x:v>
      </x:c>
    </x:row>
    <x:row r="863" ht="23" customHeight="1">
      <x:c r="B863" s="12" t="str">
        <x:v>8023</x:v>
      </x:c>
      <x:c r="C863" s="6" t="str">
        <x:v>Shaw St / College St</x:v>
      </x:c>
      <x:c r="D863" s="6" t="n">
        <x:v>783</x:v>
      </x:c>
      <x:c r="E863" s="6" t="n">
        <x:v>783</x:v>
      </x:c>
      <x:c r="F863" s="6" t="n">
        <x:v>0</x:v>
      </x:c>
      <x:c r="G863" s="6" t="n">
        <x:v>11</x:v>
      </x:c>
      <x:c r="H863" s="6" t="n">
        <x:v>114</x:v>
      </x:c>
      <x:c r="I863" s="6" t="n">
        <x:v>4897</x:v>
      </x:c>
      <x:c r="J863" s="11" t="n">
        <x:f>E863/D863</x:f>
        <x:v>1</x:v>
      </x:c>
      <x:c r="K863" s="11" t="n">
        <x:f>F863/D863</x:f>
        <x:v>0</x:v>
      </x:c>
      <x:c r="L863" s="13" t="n">
        <x:f>I863/D863</x:f>
        <x:v>6.254150702426564</x:v>
      </x:c>
      <x:c r="M863" s="6" t="str">
        <x:v>Included</x:v>
      </x:c>
    </x:row>
    <x:row r="864" ht="23" customHeight="1">
      <x:c r="B864" s="12" t="str">
        <x:v>8025</x:v>
      </x:c>
      <x:c r="C864" s="6" t="str">
        <x:v>Front St E / Scott St (2)</x:v>
      </x:c>
      <x:c r="D864" s="6" t="n">
        <x:v>781</x:v>
      </x:c>
      <x:c r="E864" s="6" t="n">
        <x:v>577</x:v>
      </x:c>
      <x:c r="F864" s="6" t="n">
        <x:v>204</x:v>
      </x:c>
      <x:c r="G864" s="6" t="n">
        <x:v>11</x:v>
      </x:c>
      <x:c r="H864" s="6" t="n">
        <x:v>114</x:v>
      </x:c>
      <x:c r="I864" s="6" t="n">
        <x:v>3512</x:v>
      </x:c>
      <x:c r="J864" s="11" t="n">
        <x:f>E864/D864</x:f>
        <x:v>0.7387964148527529</x:v>
      </x:c>
      <x:c r="K864" s="11" t="n">
        <x:f>F864/D864</x:f>
        <x:v>0.2612035851472471</x:v>
      </x:c>
      <x:c r="L864" s="13" t="n">
        <x:f>I864/D864</x:f>
        <x:v>4.496798975672215</x:v>
      </x:c>
      <x:c r="M864" s="6" t="str">
        <x:v>Included</x:v>
      </x:c>
    </x:row>
    <x:row r="865" ht="23" customHeight="1">
      <x:c r="B865" s="12" t="str">
        <x:v>8026</x:v>
      </x:c>
      <x:c r="C865" s="6" t="str">
        <x:v>Jack Layton Ferry Terminal</x:v>
      </x:c>
      <x:c r="D865" s="6" t="n">
        <x:v>787</x:v>
      </x:c>
      <x:c r="E865" s="6" t="n">
        <x:v>747</x:v>
      </x:c>
      <x:c r="F865" s="6" t="n">
        <x:v>40</x:v>
      </x:c>
      <x:c r="G865" s="6" t="n">
        <x:v>11</x:v>
      </x:c>
      <x:c r="H865" s="6" t="n">
        <x:v>114</x:v>
      </x:c>
      <x:c r="I865" s="6" t="n">
        <x:v>9657</x:v>
      </x:c>
      <x:c r="J865" s="11" t="n">
        <x:f>E865/D865</x:f>
        <x:v>0.9491740787801779</x:v>
      </x:c>
      <x:c r="K865" s="11" t="n">
        <x:f>F865/D865</x:f>
        <x:v>0.05082592121982211</x:v>
      </x:c>
      <x:c r="L865" s="13" t="n">
        <x:f>I865/D865</x:f>
        <x:v>12.270648030495552</x:v>
      </x:c>
      <x:c r="M865" s="6" t="str">
        <x:v>Included</x:v>
      </x:c>
    </x:row>
    <x:row r="866" ht="23" customHeight="1">
      <x:c r="B866" s="12" t="str">
        <x:v>8027</x:v>
      </x:c>
      <x:c r="C866" s="6" t="str">
        <x:v>Hanlan's Point Ferry Dock</x:v>
      </x:c>
      <x:c r="D866" s="6" t="n">
        <x:v>784</x:v>
      </x:c>
      <x:c r="E866" s="6" t="n">
        <x:v>784</x:v>
      </x:c>
      <x:c r="F866" s="6" t="n">
        <x:v>0</x:v>
      </x:c>
      <x:c r="G866" s="6" t="n">
        <x:v>11</x:v>
      </x:c>
      <x:c r="H866" s="6" t="n">
        <x:v>114</x:v>
      </x:c>
      <x:c r="I866" s="6" t="n">
        <x:v>19309</x:v>
      </x:c>
      <x:c r="J866" s="11" t="n">
        <x:f>E866/D866</x:f>
        <x:v>1</x:v>
      </x:c>
      <x:c r="K866" s="11" t="n">
        <x:f>F866/D866</x:f>
        <x:v>0</x:v>
      </x:c>
      <x:c r="L866" s="13" t="n">
        <x:f>I866/D866</x:f>
        <x:v>24.628826530612244</x:v>
      </x:c>
      <x:c r="M866" s="6" t="str">
        <x:v>Included</x:v>
      </x:c>
    </x:row>
    <x:row r="867" ht="23" customHeight="1">
      <x:c r="B867" s="12" t="str">
        <x:v>8028</x:v>
      </x:c>
      <x:c r="C867" s="6" t="str">
        <x:v>Ward's Island Ferry Dock</x:v>
      </x:c>
      <x:c r="D867" s="6" t="n">
        <x:v>781</x:v>
      </x:c>
      <x:c r="E867" s="6" t="n">
        <x:v>772</x:v>
      </x:c>
      <x:c r="F867" s="6" t="n">
        <x:v>9</x:v>
      </x:c>
      <x:c r="G867" s="6" t="n">
        <x:v>11</x:v>
      </x:c>
      <x:c r="H867" s="6" t="n">
        <x:v>116</x:v>
      </x:c>
      <x:c r="I867" s="6" t="n">
        <x:v>13850</x:v>
      </x:c>
      <x:c r="J867" s="11" t="n">
        <x:f>E867/D867</x:f>
        <x:v>0.9884763124199744</x:v>
      </x:c>
      <x:c r="K867" s="11" t="n">
        <x:f>F867/D867</x:f>
        <x:v>0.011523687580025609</x:v>
      </x:c>
      <x:c r="L867" s="13" t="n">
        <x:f>I867/D867</x:f>
        <x:v>17.733674775928296</x:v>
      </x:c>
      <x:c r="M867" s="6" t="str">
        <x:v>Included</x:v>
      </x:c>
    </x:row>
    <x:row r="868" ht="23" customHeight="1">
      <x:c r="B868" s="12" t="str">
        <x:v>8029</x:v>
      </x:c>
      <x:c r="C868" s="6" t="str">
        <x:v>Hanlan's Point Beach</x:v>
      </x:c>
      <x:c r="D868" s="6" t="n">
        <x:v>787</x:v>
      </x:c>
      <x:c r="E868" s="6" t="n">
        <x:v>787</x:v>
      </x:c>
      <x:c r="F868" s="6" t="n">
        <x:v>0</x:v>
      </x:c>
      <x:c r="G868" s="6" t="n">
        <x:v>11</x:v>
      </x:c>
      <x:c r="H868" s="6" t="n">
        <x:v>114</x:v>
      </x:c>
      <x:c r="I868" s="6" t="n">
        <x:v>25762</x:v>
      </x:c>
      <x:c r="J868" s="11" t="n">
        <x:f>E868/D868</x:f>
        <x:v>1</x:v>
      </x:c>
      <x:c r="K868" s="11" t="n">
        <x:f>F868/D868</x:f>
        <x:v>0</x:v>
      </x:c>
      <x:c r="L868" s="13" t="n">
        <x:f>I868/D868</x:f>
        <x:v>32.73443456162643</x:v>
      </x:c>
      <x:c r="M868" s="6" t="str">
        <x:v>Included</x:v>
      </x:c>
    </x:row>
    <x:row r="869" ht="23" customHeight="1">
      <x:c r="B869" s="12" t="str">
        <x:v>8030</x:v>
      </x:c>
      <x:c r="C869" s="6" t="str">
        <x:v>Centre Island Ferry Dock</x:v>
      </x:c>
      <x:c r="D869" s="6" t="n">
        <x:v>786</x:v>
      </x:c>
      <x:c r="E869" s="6" t="n">
        <x:v>785</x:v>
      </x:c>
      <x:c r="F869" s="6" t="n">
        <x:v>1</x:v>
      </x:c>
      <x:c r="G869" s="6" t="n">
        <x:v>11</x:v>
      </x:c>
      <x:c r="H869" s="6" t="n">
        <x:v>114</x:v>
      </x:c>
      <x:c r="I869" s="6" t="n">
        <x:v>16802</x:v>
      </x:c>
      <x:c r="J869" s="11" t="n">
        <x:f>E869/D869</x:f>
        <x:v>0.9987277353689568</x:v>
      </x:c>
      <x:c r="K869" s="11" t="n">
        <x:f>F869/D869</x:f>
        <x:v>0.001272264631043257</x:v>
      </x:c>
      <x:c r="L869" s="13" t="n">
        <x:f>I869/D869</x:f>
        <x:v>21.376590330788805</x:v>
      </x:c>
      <x:c r="M869" s="6" t="str">
        <x:v>Included</x:v>
      </x:c>
    </x:row>
    <x:row r="870" ht="23" customHeight="1">
      <x:c r="B870" s="12" t="str">
        <x:v>8031</x:v>
      </x:c>
      <x:c r="C870" s="6" t="str">
        <x:v>Ancaster Rd / Spalding Rd</x:v>
      </x:c>
      <x:c r="D870" s="6" t="n">
        <x:v>791</x:v>
      </x:c>
      <x:c r="E870" s="6" t="n">
        <x:v>791</x:v>
      </x:c>
      <x:c r="F870" s="6" t="n">
        <x:v>0</x:v>
      </x:c>
      <x:c r="G870" s="6" t="n">
        <x:v>11</x:v>
      </x:c>
      <x:c r="H870" s="6" t="n">
        <x:v>115</x:v>
      </x:c>
      <x:c r="I870" s="6" t="n">
        <x:v>8181</x:v>
      </x:c>
      <x:c r="J870" s="11" t="n">
        <x:f>E870/D870</x:f>
        <x:v>1</x:v>
      </x:c>
      <x:c r="K870" s="11" t="n">
        <x:f>F870/D870</x:f>
        <x:v>0</x:v>
      </x:c>
      <x:c r="L870" s="13" t="n">
        <x:f>I870/D870</x:f>
        <x:v>10.34260429835651</x:v>
      </x:c>
      <x:c r="M870" s="6" t="str">
        <x:v>Included</x:v>
      </x:c>
    </x:row>
    <x:row r="871" ht="23" customHeight="1">
      <x:c r="B871" s="12" t="str">
        <x:v>8032</x:v>
      </x:c>
      <x:c r="C871" s="6" t="str">
        <x:v>Roding St / Nash Dr</x:v>
      </x:c>
      <x:c r="D871" s="6" t="n">
        <x:v>786</x:v>
      </x:c>
      <x:c r="E871" s="6" t="n">
        <x:v>786</x:v>
      </x:c>
      <x:c r="F871" s="6" t="n">
        <x:v>0</x:v>
      </x:c>
      <x:c r="G871" s="6" t="n">
        <x:v>11</x:v>
      </x:c>
      <x:c r="H871" s="6" t="n">
        <x:v>116</x:v>
      </x:c>
      <x:c r="I871" s="6" t="n">
        <x:v>8216</x:v>
      </x:c>
      <x:c r="J871" s="11" t="n">
        <x:f>E871/D871</x:f>
        <x:v>1</x:v>
      </x:c>
      <x:c r="K871" s="11" t="n">
        <x:f>F871/D871</x:f>
        <x:v>0</x:v>
      </x:c>
      <x:c r="L871" s="13" t="n">
        <x:f>I871/D871</x:f>
        <x:v>10.4529262086514</x:v>
      </x:c>
      <x:c r="M871" s="6" t="str">
        <x:v>Included</x:v>
      </x:c>
    </x:row>
    <x:row r="872" ht="23" customHeight="1">
      <x:c r="B872" s="12" t="str">
        <x:v>8033</x:v>
      </x:c>
      <x:c r="C872" s="6" t="str">
        <x:v>Ridge Rd / Wilson Ave</x:v>
      </x:c>
      <x:c r="D872" s="6" t="n">
        <x:v>787</x:v>
      </x:c>
      <x:c r="E872" s="6" t="n">
        <x:v>787</x:v>
      </x:c>
      <x:c r="F872" s="6" t="n">
        <x:v>0</x:v>
      </x:c>
      <x:c r="G872" s="6" t="n">
        <x:v>11</x:v>
      </x:c>
      <x:c r="H872" s="6" t="n">
        <x:v>114</x:v>
      </x:c>
      <x:c r="I872" s="6" t="n">
        <x:v>13154</x:v>
      </x:c>
      <x:c r="J872" s="11" t="n">
        <x:f>E872/D872</x:f>
        <x:v>1</x:v>
      </x:c>
      <x:c r="K872" s="11" t="n">
        <x:f>F872/D872</x:f>
        <x:v>0</x:v>
      </x:c>
      <x:c r="L872" s="13" t="n">
        <x:f>I872/D872</x:f>
        <x:v>16.7141041931385</x:v>
      </x:c>
      <x:c r="M872" s="6" t="str">
        <x:v>Included</x:v>
      </x:c>
    </x:row>
    <x:row r="873" ht="23" customHeight="1">
      <x:c r="B873" s="12" t="str">
        <x:v>8034</x:v>
      </x:c>
      <x:c r="C873" s="6" t="str">
        <x:v>Exbury Rd / Jane St</x:v>
      </x:c>
      <x:c r="D873" s="6" t="n">
        <x:v>783</x:v>
      </x:c>
      <x:c r="E873" s="6" t="n">
        <x:v>783</x:v>
      </x:c>
      <x:c r="F873" s="6" t="n">
        <x:v>0</x:v>
      </x:c>
      <x:c r="G873" s="6" t="n">
        <x:v>11</x:v>
      </x:c>
      <x:c r="H873" s="6" t="n">
        <x:v>114</x:v>
      </x:c>
      <x:c r="I873" s="6" t="n">
        <x:v>8624</x:v>
      </x:c>
      <x:c r="J873" s="11" t="n">
        <x:f>E873/D873</x:f>
        <x:v>1</x:v>
      </x:c>
      <x:c r="K873" s="11" t="n">
        <x:f>F873/D873</x:f>
        <x:v>0</x:v>
      </x:c>
      <x:c r="L873" s="13" t="n">
        <x:f>I873/D873</x:f>
        <x:v>11.01404853128991</x:v>
      </x:c>
      <x:c r="M873" s="6" t="str">
        <x:v>Included</x:v>
      </x:c>
    </x:row>
    <x:row r="874" ht="23" customHeight="1">
      <x:c r="B874" s="12" t="str">
        <x:v>8035</x:v>
      </x:c>
      <x:c r="C874" s="6" t="str">
        <x:v>Dubray Ave / Wilson Ave</x:v>
      </x:c>
      <x:c r="D874" s="6" t="n">
        <x:v>791</x:v>
      </x:c>
      <x:c r="E874" s="6" t="n">
        <x:v>791</x:v>
      </x:c>
      <x:c r="F874" s="6" t="n">
        <x:v>0</x:v>
      </x:c>
      <x:c r="G874" s="6" t="n">
        <x:v>11</x:v>
      </x:c>
      <x:c r="H874" s="6" t="n">
        <x:v>114</x:v>
      </x:c>
      <x:c r="I874" s="6" t="n">
        <x:v>10761</x:v>
      </x:c>
      <x:c r="J874" s="11" t="n">
        <x:f>E874/D874</x:f>
        <x:v>1</x:v>
      </x:c>
      <x:c r="K874" s="11" t="n">
        <x:f>F874/D874</x:f>
        <x:v>0</x:v>
      </x:c>
      <x:c r="L874" s="13" t="n">
        <x:f>I874/D874</x:f>
        <x:v>13.604298356510746</x:v>
      </x:c>
      <x:c r="M874" s="6" t="str">
        <x:v>Included</x:v>
      </x:c>
    </x:row>
    <x:row r="875" ht="23" customHeight="1">
      <x:c r="B875" s="12" t="str">
        <x:v>8036</x:v>
      </x:c>
      <x:c r="C875" s="6" t="str">
        <x:v>Jane St / Sheppard Ave W</x:v>
      </x:c>
      <x:c r="D875" s="6" t="n">
        <x:v>782</x:v>
      </x:c>
      <x:c r="E875" s="6" t="n">
        <x:v>782</x:v>
      </x:c>
      <x:c r="F875" s="6" t="n">
        <x:v>0</x:v>
      </x:c>
      <x:c r="G875" s="6" t="n">
        <x:v>11</x:v>
      </x:c>
      <x:c r="H875" s="6" t="n">
        <x:v>115</x:v>
      </x:c>
      <x:c r="I875" s="6" t="n">
        <x:v>11578</x:v>
      </x:c>
      <x:c r="J875" s="11" t="n">
        <x:f>E875/D875</x:f>
        <x:v>1</x:v>
      </x:c>
      <x:c r="K875" s="11" t="n">
        <x:f>F875/D875</x:f>
        <x:v>0</x:v>
      </x:c>
      <x:c r="L875" s="13" t="n">
        <x:f>I875/D875</x:f>
        <x:v>14.805626598465473</x:v>
      </x:c>
      <x:c r="M875" s="6" t="str">
        <x:v>Included</x:v>
      </x:c>
    </x:row>
    <x:row r="876" ht="23" customHeight="1">
      <x:c r="B876" s="12" t="str">
        <x:v>8037</x:v>
      </x:c>
      <x:c r="C876" s="6" t="str">
        <x:v>Bathurst St / Sheppard Ave W</x:v>
      </x:c>
      <x:c r="D876" s="6" t="n">
        <x:v>788</x:v>
      </x:c>
      <x:c r="E876" s="6" t="n">
        <x:v>788</x:v>
      </x:c>
      <x:c r="F876" s="6" t="n">
        <x:v>0</x:v>
      </x:c>
      <x:c r="G876" s="6" t="n">
        <x:v>11</x:v>
      </x:c>
      <x:c r="H876" s="6" t="n">
        <x:v>114</x:v>
      </x:c>
      <x:c r="I876" s="6" t="n">
        <x:v>8807</x:v>
      </x:c>
      <x:c r="J876" s="11" t="n">
        <x:f>E876/D876</x:f>
        <x:v>1</x:v>
      </x:c>
      <x:c r="K876" s="11" t="n">
        <x:f>F876/D876</x:f>
        <x:v>0</x:v>
      </x:c>
      <x:c r="L876" s="13" t="n">
        <x:f>I876/D876</x:f>
        <x:v>11.176395939086294</x:v>
      </x:c>
      <x:c r="M876" s="6" t="str">
        <x:v>Included</x:v>
      </x:c>
    </x:row>
    <x:row r="877" ht="23" customHeight="1">
      <x:c r="B877" s="12" t="str">
        <x:v>8038</x:v>
      </x:c>
      <x:c r="C877" s="6" t="str">
        <x:v>Finch Ave E / Upper Don Recreational Trail</x:v>
      </x:c>
      <x:c r="D877" s="6" t="n">
        <x:v>774</x:v>
      </x:c>
      <x:c r="E877" s="6" t="n">
        <x:v>774</x:v>
      </x:c>
      <x:c r="F877" s="6" t="n">
        <x:v>0</x:v>
      </x:c>
      <x:c r="G877" s="6" t="n">
        <x:v>11</x:v>
      </x:c>
      <x:c r="H877" s="6" t="n">
        <x:v>114</x:v>
      </x:c>
      <x:c r="I877" s="6" t="n">
        <x:v>3484</x:v>
      </x:c>
      <x:c r="J877" s="11" t="n">
        <x:f>E877/D877</x:f>
        <x:v>1</x:v>
      </x:c>
      <x:c r="K877" s="11" t="n">
        <x:f>F877/D877</x:f>
        <x:v>0</x:v>
      </x:c>
      <x:c r="L877" s="13" t="n">
        <x:f>I877/D877</x:f>
        <x:v>4.501291989664082</x:v>
      </x:c>
      <x:c r="M877" s="6" t="str">
        <x:v>Included</x:v>
      </x:c>
    </x:row>
    <x:row r="878" ht="23" customHeight="1">
      <x:c r="B878" s="12" t="str">
        <x:v>8039</x:v>
      </x:c>
      <x:c r="C878" s="6" t="str">
        <x:v>Ruddington Dr / Finch Recreational Trail</x:v>
      </x:c>
      <x:c r="D878" s="6" t="n">
        <x:v>789</x:v>
      </x:c>
      <x:c r="E878" s="6" t="n">
        <x:v>789</x:v>
      </x:c>
      <x:c r="F878" s="6" t="n">
        <x:v>0</x:v>
      </x:c>
      <x:c r="G878" s="6" t="n">
        <x:v>11</x:v>
      </x:c>
      <x:c r="H878" s="6" t="n">
        <x:v>114</x:v>
      </x:c>
      <x:c r="I878" s="6" t="n">
        <x:v>10875</x:v>
      </x:c>
      <x:c r="J878" s="11" t="n">
        <x:f>E878/D878</x:f>
        <x:v>1</x:v>
      </x:c>
      <x:c r="K878" s="11" t="n">
        <x:f>F878/D878</x:f>
        <x:v>0</x:v>
      </x:c>
      <x:c r="L878" s="13" t="n">
        <x:f>I878/D878</x:f>
        <x:v>13.783269961977187</x:v>
      </x:c>
      <x:c r="M878" s="6" t="str">
        <x:v>Included</x:v>
      </x:c>
    </x:row>
    <x:row r="879" ht="23" customHeight="1">
      <x:c r="B879" s="12" t="str">
        <x:v>8040</x:v>
      </x:c>
      <x:c r="C879" s="6" t="str">
        <x:v>Old Cummer GO Station</x:v>
      </x:c>
      <x:c r="D879" s="6" t="n">
        <x:v>790</x:v>
      </x:c>
      <x:c r="E879" s="6" t="n">
        <x:v>790</x:v>
      </x:c>
      <x:c r="F879" s="6" t="n">
        <x:v>0</x:v>
      </x:c>
      <x:c r="G879" s="6" t="n">
        <x:v>11</x:v>
      </x:c>
      <x:c r="H879" s="6" t="n">
        <x:v>114</x:v>
      </x:c>
      <x:c r="I879" s="6" t="n">
        <x:v>16923</x:v>
      </x:c>
      <x:c r="J879" s="11" t="n">
        <x:f>E879/D879</x:f>
        <x:v>1</x:v>
      </x:c>
      <x:c r="K879" s="11" t="n">
        <x:f>F879/D879</x:f>
        <x:v>0</x:v>
      </x:c>
      <x:c r="L879" s="13" t="n">
        <x:f>I879/D879</x:f>
        <x:v>21.421518987341774</x:v>
      </x:c>
      <x:c r="M879" s="6" t="str">
        <x:v>Included</x:v>
      </x:c>
    </x:row>
    <x:row r="880" ht="23" customHeight="1">
      <x:c r="B880" s="12" t="str">
        <x:v>8041</x:v>
      </x:c>
      <x:c r="C880" s="6" t="str">
        <x:v>Wilmington Ave / Kennard Ave</x:v>
      </x:c>
      <x:c r="D880" s="6" t="n">
        <x:v>783</x:v>
      </x:c>
      <x:c r="E880" s="6" t="n">
        <x:v>783</x:v>
      </x:c>
      <x:c r="F880" s="6" t="n">
        <x:v>0</x:v>
      </x:c>
      <x:c r="G880" s="6" t="n">
        <x:v>11</x:v>
      </x:c>
      <x:c r="H880" s="6" t="n">
        <x:v>114</x:v>
      </x:c>
      <x:c r="I880" s="6" t="n">
        <x:v>6905</x:v>
      </x:c>
      <x:c r="J880" s="11" t="n">
        <x:f>E880/D880</x:f>
        <x:v>1</x:v>
      </x:c>
      <x:c r="K880" s="11" t="n">
        <x:f>F880/D880</x:f>
        <x:v>0</x:v>
      </x:c>
      <x:c r="L880" s="13" t="n">
        <x:f>I880/D880</x:f>
        <x:v>8.818646232439336</x:v>
      </x:c>
      <x:c r="M880" s="6" t="str">
        <x:v>Included</x:v>
      </x:c>
    </x:row>
    <x:row r="881" ht="23" customHeight="1">
      <x:c r="B881" s="12" t="str">
        <x:v>8042</x:v>
      </x:c>
      <x:c r="C881" s="6" t="str">
        <x:v>Fairview Mall Dr / Fairview Mall Dr E</x:v>
      </x:c>
      <x:c r="D881" s="6" t="n">
        <x:v>785</x:v>
      </x:c>
      <x:c r="E881" s="6" t="n">
        <x:v>785</x:v>
      </x:c>
      <x:c r="F881" s="6" t="n">
        <x:v>0</x:v>
      </x:c>
      <x:c r="G881" s="6" t="n">
        <x:v>11</x:v>
      </x:c>
      <x:c r="H881" s="6" t="n">
        <x:v>115</x:v>
      </x:c>
      <x:c r="I881" s="6" t="n">
        <x:v>13536</x:v>
      </x:c>
      <x:c r="J881" s="11" t="n">
        <x:f>E881/D881</x:f>
        <x:v>1</x:v>
      </x:c>
      <x:c r="K881" s="11" t="n">
        <x:f>F881/D881</x:f>
        <x:v>0</x:v>
      </x:c>
      <x:c r="L881" s="13" t="n">
        <x:f>I881/D881</x:f>
        <x:v>17.243312101910828</x:v>
      </x:c>
      <x:c r="M881" s="6" t="str">
        <x:v>Included</x:v>
      </x:c>
    </x:row>
    <x:row r="882" ht="23" customHeight="1">
      <x:c r="B882" s="12" t="str">
        <x:v>8043</x:v>
      </x:c>
      <x:c r="C882" s="6" t="str">
        <x:v>Birchmount Rd / The Meadoway</x:v>
      </x:c>
      <x:c r="D882" s="6" t="n">
        <x:v>783</x:v>
      </x:c>
      <x:c r="E882" s="6" t="n">
        <x:v>783</x:v>
      </x:c>
      <x:c r="F882" s="6" t="n">
        <x:v>0</x:v>
      </x:c>
      <x:c r="G882" s="6" t="n">
        <x:v>11</x:v>
      </x:c>
      <x:c r="H882" s="6" t="n">
        <x:v>114</x:v>
      </x:c>
      <x:c r="I882" s="6" t="n">
        <x:v>11205</x:v>
      </x:c>
      <x:c r="J882" s="11" t="n">
        <x:f>E882/D882</x:f>
        <x:v>1</x:v>
      </x:c>
      <x:c r="K882" s="11" t="n">
        <x:f>F882/D882</x:f>
        <x:v>0</x:v>
      </x:c>
      <x:c r="L882" s="13" t="n">
        <x:f>I882/D882</x:f>
        <x:v>14.310344827586206</x:v>
      </x:c>
      <x:c r="M882" s="6" t="str">
        <x:v>Included</x:v>
      </x:c>
    </x:row>
    <x:row r="883" ht="23" customHeight="1">
      <x:c r="B883" s="12" t="str">
        <x:v>8044</x:v>
      </x:c>
      <x:c r="C883" s="6" t="str">
        <x:v>Scarborough Village Park</x:v>
      </x:c>
      <x:c r="D883" s="6" t="n">
        <x:v>790</x:v>
      </x:c>
      <x:c r="E883" s="6" t="n">
        <x:v>645</x:v>
      </x:c>
      <x:c r="F883" s="6" t="n">
        <x:v>145</x:v>
      </x:c>
      <x:c r="G883" s="6" t="n">
        <x:v>11</x:v>
      </x:c>
      <x:c r="H883" s="6" t="n">
        <x:v>114</x:v>
      </x:c>
      <x:c r="I883" s="6" t="n">
        <x:v>5604</x:v>
      </x:c>
      <x:c r="J883" s="11" t="n">
        <x:f>E883/D883</x:f>
        <x:v>0.8164556962025317</x:v>
      </x:c>
      <x:c r="K883" s="11" t="n">
        <x:f>F883/D883</x:f>
        <x:v>0.18354430379746836</x:v>
      </x:c>
      <x:c r="L883" s="13" t="n">
        <x:f>I883/D883</x:f>
        <x:v>7.093670886075949</x:v>
      </x:c>
      <x:c r="M883" s="6" t="str">
        <x:v>Included</x:v>
      </x:c>
    </x:row>
    <x:row r="884" ht="23" customHeight="1">
      <x:c r="B884" s="12" t="str">
        <x:v>8045</x:v>
      </x:c>
      <x:c r="C884" s="6" t="str">
        <x:v>Prudential Dr / Midland Ave</x:v>
      </x:c>
      <x:c r="D884" s="6" t="n">
        <x:v>789</x:v>
      </x:c>
      <x:c r="E884" s="6" t="n">
        <x:v>789</x:v>
      </x:c>
      <x:c r="F884" s="6" t="n">
        <x:v>0</x:v>
      </x:c>
      <x:c r="G884" s="6" t="n">
        <x:v>11</x:v>
      </x:c>
      <x:c r="H884" s="6" t="n">
        <x:v>115</x:v>
      </x:c>
      <x:c r="I884" s="6" t="n">
        <x:v>11835</x:v>
      </x:c>
      <x:c r="J884" s="11" t="n">
        <x:f>E884/D884</x:f>
        <x:v>1</x:v>
      </x:c>
      <x:c r="K884" s="11" t="n">
        <x:f>F884/D884</x:f>
        <x:v>0</x:v>
      </x:c>
      <x:c r="L884" s="13" t="n">
        <x:f>I884/D884</x:f>
        <x:v>15</x:v>
      </x:c>
      <x:c r="M884" s="6" t="str">
        <x:v>Included</x:v>
      </x:c>
    </x:row>
    <x:row r="885" ht="23" customHeight="1">
      <x:c r="B885" s="12" t="str">
        <x:v>8046</x:v>
      </x:c>
      <x:c r="C885" s="6" t="str">
        <x:v>Markham Rd / Cougar Crt</x:v>
      </x:c>
      <x:c r="D885" s="6" t="n">
        <x:v>790</x:v>
      </x:c>
      <x:c r="E885" s="6" t="n">
        <x:v>790</x:v>
      </x:c>
      <x:c r="F885" s="6" t="n">
        <x:v>0</x:v>
      </x:c>
      <x:c r="G885" s="6" t="n">
        <x:v>11</x:v>
      </x:c>
      <x:c r="H885" s="6" t="n">
        <x:v>114</x:v>
      </x:c>
      <x:c r="I885" s="6" t="n">
        <x:v>7840</x:v>
      </x:c>
      <x:c r="J885" s="11" t="n">
        <x:f>E885/D885</x:f>
        <x:v>1</x:v>
      </x:c>
      <x:c r="K885" s="11" t="n">
        <x:f>F885/D885</x:f>
        <x:v>0</x:v>
      </x:c>
      <x:c r="L885" s="13" t="n">
        <x:f>I885/D885</x:f>
        <x:v>9.924050632911392</x:v>
      </x:c>
      <x:c r="M885" s="6" t="str">
        <x:v>Included</x:v>
      </x:c>
    </x:row>
    <x:row r="886" ht="23" customHeight="1">
      <x:c r="B886" s="12" t="str">
        <x:v>8047</x:v>
      </x:c>
      <x:c r="C886" s="6" t="str">
        <x:v>Lawrence Ave E / Overture Rd</x:v>
      </x:c>
      <x:c r="D886" s="6" t="n">
        <x:v>790</x:v>
      </x:c>
      <x:c r="E886" s="6" t="n">
        <x:v>790</x:v>
      </x:c>
      <x:c r="F886" s="6" t="n">
        <x:v>0</x:v>
      </x:c>
      <x:c r="G886" s="6" t="n">
        <x:v>11</x:v>
      </x:c>
      <x:c r="H886" s="6" t="n">
        <x:v>115</x:v>
      </x:c>
      <x:c r="I886" s="6" t="n">
        <x:v>7606</x:v>
      </x:c>
      <x:c r="J886" s="11" t="n">
        <x:f>E886/D886</x:f>
        <x:v>1</x:v>
      </x:c>
      <x:c r="K886" s="11" t="n">
        <x:f>F886/D886</x:f>
        <x:v>0</x:v>
      </x:c>
      <x:c r="L886" s="13" t="n">
        <x:f>I886/D886</x:f>
        <x:v>9.627848101265823</x:v>
      </x:c>
      <x:c r="M886" s="6" t="str">
        <x:v>Included</x:v>
      </x:c>
    </x:row>
    <x:row r="887" ht="23" customHeight="1">
      <x:c r="B887" s="12" t="str">
        <x:v>8048</x:v>
      </x:c>
      <x:c r="C887" s="6" t="str">
        <x:v>Morningside Ave / Kingston Rd</x:v>
      </x:c>
      <x:c r="D887" s="6" t="n">
        <x:v>783</x:v>
      </x:c>
      <x:c r="E887" s="6" t="n">
        <x:v>783</x:v>
      </x:c>
      <x:c r="F887" s="6" t="n">
        <x:v>0</x:v>
      </x:c>
      <x:c r="G887" s="6" t="n">
        <x:v>11</x:v>
      </x:c>
      <x:c r="H887" s="6" t="n">
        <x:v>114</x:v>
      </x:c>
      <x:c r="I887" s="6" t="n">
        <x:v>9459</x:v>
      </x:c>
      <x:c r="J887" s="11" t="n">
        <x:f>E887/D887</x:f>
        <x:v>1</x:v>
      </x:c>
      <x:c r="K887" s="11" t="n">
        <x:f>F887/D887</x:f>
        <x:v>0</x:v>
      </x:c>
      <x:c r="L887" s="13" t="n">
        <x:f>I887/D887</x:f>
        <x:v>12.080459770114942</x:v>
      </x:c>
      <x:c r="M887" s="6" t="str">
        <x:v>Included</x:v>
      </x:c>
    </x:row>
    <x:row r="888" ht="23" customHeight="1">
      <x:c r="B888" s="12" t="str">
        <x:v>8049</x:v>
      </x:c>
      <x:c r="C888" s="6" t="str">
        <x:v>YZD</x:v>
      </x:c>
      <x:c r="D888" s="6" t="n">
        <x:v>790</x:v>
      </x:c>
      <x:c r="E888" s="6" t="n">
        <x:v>790</x:v>
      </x:c>
      <x:c r="F888" s="6" t="n">
        <x:v>0</x:v>
      </x:c>
      <x:c r="G888" s="6" t="n">
        <x:v>11</x:v>
      </x:c>
      <x:c r="H888" s="6" t="n">
        <x:v>115</x:v>
      </x:c>
      <x:c r="I888" s="6" t="n">
        <x:v>13914</x:v>
      </x:c>
      <x:c r="J888" s="11" t="n">
        <x:f>E888/D888</x:f>
        <x:v>1</x:v>
      </x:c>
      <x:c r="K888" s="11" t="n">
        <x:f>F888/D888</x:f>
        <x:v>0</x:v>
      </x:c>
      <x:c r="L888" s="13" t="n">
        <x:f>I888/D888</x:f>
        <x:v>17.6126582278481</x:v>
      </x:c>
      <x:c r="M888" s="6" t="str">
        <x:v>Included</x:v>
      </x:c>
    </x:row>
    <x:row r="889" ht="23" customHeight="1">
      <x:c r="B889" s="12" t="str">
        <x:v>8050</x:v>
      </x:c>
      <x:c r="C889" s="6" t="str">
        <x:v>Wilson Ave / Transit Rd (TTC Subway Station)</x:v>
      </x:c>
      <x:c r="D889" s="6" t="n">
        <x:v>789</x:v>
      </x:c>
      <x:c r="E889" s="6" t="n">
        <x:v>789</x:v>
      </x:c>
      <x:c r="F889" s="6" t="n">
        <x:v>0</x:v>
      </x:c>
      <x:c r="G889" s="6" t="n">
        <x:v>11</x:v>
      </x:c>
      <x:c r="H889" s="6" t="n">
        <x:v>114</x:v>
      </x:c>
      <x:c r="I889" s="6" t="n">
        <x:v>14668</x:v>
      </x:c>
      <x:c r="J889" s="11" t="n">
        <x:f>E889/D889</x:f>
        <x:v>1</x:v>
      </x:c>
      <x:c r="K889" s="11" t="n">
        <x:f>F889/D889</x:f>
        <x:v>0</x:v>
      </x:c>
      <x:c r="L889" s="13" t="n">
        <x:f>I889/D889</x:f>
        <x:v>18.59062103929024</x:v>
      </x:c>
      <x:c r="M889" s="6" t="str">
        <x:v>Included</x:v>
      </x:c>
    </x:row>
    <x:row r="890" ht="23" customHeight="1">
      <x:c r="B890" s="12" t="str">
        <x:v>8051</x:v>
      </x:c>
      <x:c r="C890" s="6" t="str">
        <x:v>Homewood Ave / Wellesley St E - SMART</x:v>
      </x:c>
      <x:c r="D890" s="6" t="n">
        <x:v>784</x:v>
      </x:c>
      <x:c r="E890" s="6" t="n">
        <x:v>621</x:v>
      </x:c>
      <x:c r="F890" s="6" t="n">
        <x:v>163</x:v>
      </x:c>
      <x:c r="G890" s="6" t="n">
        <x:v>11</x:v>
      </x:c>
      <x:c r="H890" s="6" t="n">
        <x:v>114</x:v>
      </x:c>
      <x:c r="I890" s="6" t="n">
        <x:v>4596</x:v>
      </x:c>
      <x:c r="J890" s="11" t="n">
        <x:f>E890/D890</x:f>
        <x:v>0.7920918367346939</x:v>
      </x:c>
      <x:c r="K890" s="11" t="n">
        <x:f>F890/D890</x:f>
        <x:v>0.20790816326530612</x:v>
      </x:c>
      <x:c r="L890" s="13" t="n">
        <x:f>I890/D890</x:f>
        <x:v>5.862244897959184</x:v>
      </x:c>
      <x:c r="M890" s="6" t="str">
        <x:v>Included</x:v>
      </x:c>
    </x:row>
    <x:row r="891" ht="23" customHeight="1">
      <x:c r="B891" s="12" t="str">
        <x:v>8052</x:v>
      </x:c>
      <x:c r="C891" s="6" t="str">
        <x:v>Warden Ave / The Meadoway</x:v>
      </x:c>
      <x:c r="D891" s="6" t="n">
        <x:v>783</x:v>
      </x:c>
      <x:c r="E891" s="6" t="n">
        <x:v>783</x:v>
      </x:c>
      <x:c r="F891" s="6" t="n">
        <x:v>0</x:v>
      </x:c>
      <x:c r="G891" s="6" t="n">
        <x:v>11</x:v>
      </x:c>
      <x:c r="H891" s="6" t="n">
        <x:v>115</x:v>
      </x:c>
      <x:c r="I891" s="6" t="n">
        <x:v>7434</x:v>
      </x:c>
      <x:c r="J891" s="11" t="n">
        <x:f>E891/D891</x:f>
        <x:v>1</x:v>
      </x:c>
      <x:c r="K891" s="11" t="n">
        <x:f>F891/D891</x:f>
        <x:v>0</x:v>
      </x:c>
      <x:c r="L891" s="13" t="n">
        <x:f>I891/D891</x:f>
        <x:v>9.494252873563218</x:v>
      </x:c>
      <x:c r="M891" s="6" t="str">
        <x:v>Included</x:v>
      </x:c>
    </x:row>
    <x:row r="892" ht="23" customHeight="1">
      <x:c r="B892" s="12" t="str">
        <x:v>8053</x:v>
      </x:c>
      <x:c r="C892" s="6" t="str">
        <x:v>Galloway Rd / Kingston Rd</x:v>
      </x:c>
      <x:c r="D892" s="6" t="n">
        <x:v>783</x:v>
      </x:c>
      <x:c r="E892" s="6" t="n">
        <x:v>783</x:v>
      </x:c>
      <x:c r="F892" s="6" t="n">
        <x:v>0</x:v>
      </x:c>
      <x:c r="G892" s="6" t="n">
        <x:v>11</x:v>
      </x:c>
      <x:c r="H892" s="6" t="n">
        <x:v>115</x:v>
      </x:c>
      <x:c r="I892" s="6" t="n">
        <x:v>11038</x:v>
      </x:c>
      <x:c r="J892" s="11" t="n">
        <x:f>E892/D892</x:f>
        <x:v>1</x:v>
      </x:c>
      <x:c r="K892" s="11" t="n">
        <x:f>F892/D892</x:f>
        <x:v>0</x:v>
      </x:c>
      <x:c r="L892" s="13" t="n">
        <x:f>I892/D892</x:f>
        <x:v>14.0970625798212</x:v>
      </x:c>
      <x:c r="M892" s="6" t="str">
        <x:v>Included</x:v>
      </x:c>
    </x:row>
    <x:row r="893" ht="23" customHeight="1">
      <x:c r="B893" s="12" t="str">
        <x:v>8054</x:v>
      </x:c>
      <x:c r="C893" s="6" t="str">
        <x:v>Sheppard Ave E / Brian Dr</x:v>
      </x:c>
      <x:c r="D893" s="6" t="n">
        <x:v>787</x:v>
      </x:c>
      <x:c r="E893" s="6" t="n">
        <x:v>787</x:v>
      </x:c>
      <x:c r="F893" s="6" t="n">
        <x:v>0</x:v>
      </x:c>
      <x:c r="G893" s="6" t="n">
        <x:v>11</x:v>
      </x:c>
      <x:c r="H893" s="6" t="n">
        <x:v>115</x:v>
      </x:c>
      <x:c r="I893" s="6" t="n">
        <x:v>14106</x:v>
      </x:c>
      <x:c r="J893" s="11" t="n">
        <x:f>E893/D893</x:f>
        <x:v>1</x:v>
      </x:c>
      <x:c r="K893" s="11" t="n">
        <x:f>F893/D893</x:f>
        <x:v>0</x:v>
      </x:c>
      <x:c r="L893" s="13" t="n">
        <x:f>I893/D893</x:f>
        <x:v>17.923761118170265</x:v>
      </x:c>
      <x:c r="M893" s="6" t="str">
        <x:v>Included</x:v>
      </x:c>
    </x:row>
    <x:row r="894" ht="23" customHeight="1">
      <x:c r="B894" s="12" t="str">
        <x:v>8055</x:v>
      </x:c>
      <x:c r="C894" s="6" t="str">
        <x:v>Sheppard Ave E / Willowdale Ave</x:v>
      </x:c>
      <x:c r="D894" s="6" t="n">
        <x:v>793</x:v>
      </x:c>
      <x:c r="E894" s="6" t="n">
        <x:v>793</x:v>
      </x:c>
      <x:c r="F894" s="6" t="n">
        <x:v>0</x:v>
      </x:c>
      <x:c r="G894" s="6" t="n">
        <x:v>11</x:v>
      </x:c>
      <x:c r="H894" s="6" t="n">
        <x:v>114</x:v>
      </x:c>
      <x:c r="I894" s="6" t="n">
        <x:v>3084</x:v>
      </x:c>
      <x:c r="J894" s="11" t="n">
        <x:f>E894/D894</x:f>
        <x:v>1</x:v>
      </x:c>
      <x:c r="K894" s="11" t="n">
        <x:f>F894/D894</x:f>
        <x:v>0</x:v>
      </x:c>
      <x:c r="L894" s="13" t="n">
        <x:f>I894/D894</x:f>
        <x:v>3.889029003783102</x:v>
      </x:c>
      <x:c r="M894" s="6" t="str">
        <x:v>Included</x:v>
      </x:c>
    </x:row>
    <x:row r="895" ht="23" customHeight="1">
      <x:c r="B895" s="12" t="str">
        <x:v>8056</x:v>
      </x:c>
      <x:c r="C895" s="6" t="str">
        <x:v>Parkway Forest Dr / Forest Manor Rd (North)</x:v>
      </x:c>
      <x:c r="D895" s="6" t="n">
        <x:v>786</x:v>
      </x:c>
      <x:c r="E895" s="6" t="n">
        <x:v>786</x:v>
      </x:c>
      <x:c r="F895" s="6" t="n">
        <x:v>0</x:v>
      </x:c>
      <x:c r="G895" s="6" t="n">
        <x:v>11</x:v>
      </x:c>
      <x:c r="H895" s="6" t="n">
        <x:v>115</x:v>
      </x:c>
      <x:c r="I895" s="6" t="n">
        <x:v>11293</x:v>
      </x:c>
      <x:c r="J895" s="11" t="n">
        <x:f>E895/D895</x:f>
        <x:v>1</x:v>
      </x:c>
      <x:c r="K895" s="11" t="n">
        <x:f>F895/D895</x:f>
        <x:v>0</x:v>
      </x:c>
      <x:c r="L895" s="13" t="n">
        <x:f>I895/D895</x:f>
        <x:v>14.367684478371501</x:v>
      </x:c>
      <x:c r="M895" s="6" t="str">
        <x:v>Included</x:v>
      </x:c>
    </x:row>
    <x:row r="896" ht="23" customHeight="1">
      <x:c r="B896" s="12" t="str">
        <x:v>8057</x:v>
      </x:c>
      <x:c r="C896" s="6" t="str">
        <x:v>Parkway Forest Dr / Forest Manor Rd (South)</x:v>
      </x:c>
      <x:c r="D896" s="6" t="n">
        <x:v>788</x:v>
      </x:c>
      <x:c r="E896" s="6" t="n">
        <x:v>788</x:v>
      </x:c>
      <x:c r="F896" s="6" t="n">
        <x:v>0</x:v>
      </x:c>
      <x:c r="G896" s="6" t="n">
        <x:v>11</x:v>
      </x:c>
      <x:c r="H896" s="6" t="n">
        <x:v>115</x:v>
      </x:c>
      <x:c r="I896" s="6" t="n">
        <x:v>9938</x:v>
      </x:c>
      <x:c r="J896" s="11" t="n">
        <x:f>E896/D896</x:f>
        <x:v>1</x:v>
      </x:c>
      <x:c r="K896" s="11" t="n">
        <x:f>F896/D896</x:f>
        <x:v>0</x:v>
      </x:c>
      <x:c r="L896" s="13" t="n">
        <x:f>I896/D896</x:f>
        <x:v>12.611675126903553</x:v>
      </x:c>
      <x:c r="M896" s="6" t="str">
        <x:v>Included</x:v>
      </x:c>
    </x:row>
    <x:row r="897" ht="23" customHeight="1">
      <x:c r="B897" s="12" t="str">
        <x:v>8058</x:v>
      </x:c>
      <x:c r="C897" s="6" t="str">
        <x:v>Maxome Ave / Finch Hydro Corridor</x:v>
      </x:c>
      <x:c r="D897" s="6" t="n">
        <x:v>788</x:v>
      </x:c>
      <x:c r="E897" s="6" t="n">
        <x:v>788</x:v>
      </x:c>
      <x:c r="F897" s="6" t="n">
        <x:v>0</x:v>
      </x:c>
      <x:c r="G897" s="6" t="n">
        <x:v>11</x:v>
      </x:c>
      <x:c r="H897" s="6" t="n">
        <x:v>114</x:v>
      </x:c>
      <x:c r="I897" s="6" t="n">
        <x:v>12822</x:v>
      </x:c>
      <x:c r="J897" s="11" t="n">
        <x:f>E897/D897</x:f>
        <x:v>1</x:v>
      </x:c>
      <x:c r="K897" s="11" t="n">
        <x:f>F897/D897</x:f>
        <x:v>0</x:v>
      </x:c>
      <x:c r="L897" s="13" t="n">
        <x:f>I897/D897</x:f>
        <x:v>16.271573604060915</x:v>
      </x:c>
      <x:c r="M897" s="6" t="str">
        <x:v>Included</x:v>
      </x:c>
    </x:row>
    <x:row r="898" ht="23" customHeight="1">
      <x:c r="B898" s="12" t="str">
        <x:v>8059</x:v>
      </x:c>
      <x:c r="C898" s="6" t="str">
        <x:v>Ionview Rd / Eglinton Ave E</x:v>
      </x:c>
      <x:c r="D898" s="6" t="n">
        <x:v>781</x:v>
      </x:c>
      <x:c r="E898" s="6" t="n">
        <x:v>781</x:v>
      </x:c>
      <x:c r="F898" s="6" t="n">
        <x:v>0</x:v>
      </x:c>
      <x:c r="G898" s="6" t="n">
        <x:v>11</x:v>
      </x:c>
      <x:c r="H898" s="6" t="n">
        <x:v>114</x:v>
      </x:c>
      <x:c r="I898" s="6" t="n">
        <x:v>7675</x:v>
      </x:c>
      <x:c r="J898" s="11" t="n">
        <x:f>E898/D898</x:f>
        <x:v>1</x:v>
      </x:c>
      <x:c r="K898" s="11" t="n">
        <x:f>F898/D898</x:f>
        <x:v>0</x:v>
      </x:c>
      <x:c r="L898" s="13" t="n">
        <x:f>I898/D898</x:f>
        <x:v>9.827144686299615</x:v>
      </x:c>
      <x:c r="M898" s="6" t="str">
        <x:v>Included</x:v>
      </x:c>
    </x:row>
    <x:row r="899" ht="23" customHeight="1">
      <x:c r="B899" s="12" t="str">
        <x:v>8060</x:v>
      </x:c>
      <x:c r="C899" s="6" t="str">
        <x:v>Gilder Dr / Midland Ave</x:v>
      </x:c>
      <x:c r="D899" s="6" t="n">
        <x:v>786</x:v>
      </x:c>
      <x:c r="E899" s="6" t="n">
        <x:v>786</x:v>
      </x:c>
      <x:c r="F899" s="6" t="n">
        <x:v>0</x:v>
      </x:c>
      <x:c r="G899" s="6" t="n">
        <x:v>11</x:v>
      </x:c>
      <x:c r="H899" s="6" t="n">
        <x:v>114</x:v>
      </x:c>
      <x:c r="I899" s="6" t="n">
        <x:v>10060</x:v>
      </x:c>
      <x:c r="J899" s="11" t="n">
        <x:f>E899/D899</x:f>
        <x:v>1</x:v>
      </x:c>
      <x:c r="K899" s="11" t="n">
        <x:f>F899/D899</x:f>
        <x:v>0</x:v>
      </x:c>
      <x:c r="L899" s="13" t="n">
        <x:f>I899/D899</x:f>
        <x:v>12.798982188295165</x:v>
      </x:c>
      <x:c r="M899" s="6" t="str">
        <x:v>Included</x:v>
      </x:c>
    </x:row>
    <x:row r="900" ht="23" customHeight="1">
      <x:c r="B900" s="12" t="str">
        <x:v>8061</x:v>
      </x:c>
      <x:c r="C900" s="6" t="str">
        <x:v>Stansbury Cr / Midland Ave</x:v>
      </x:c>
      <x:c r="D900" s="6" t="n">
        <x:v>788</x:v>
      </x:c>
      <x:c r="E900" s="6" t="n">
        <x:v>788</x:v>
      </x:c>
      <x:c r="F900" s="6" t="n">
        <x:v>0</x:v>
      </x:c>
      <x:c r="G900" s="6" t="n">
        <x:v>11</x:v>
      </x:c>
      <x:c r="H900" s="6" t="n">
        <x:v>114</x:v>
      </x:c>
      <x:c r="I900" s="6" t="n">
        <x:v>6808</x:v>
      </x:c>
      <x:c r="J900" s="11" t="n">
        <x:f>E900/D900</x:f>
        <x:v>1</x:v>
      </x:c>
      <x:c r="K900" s="11" t="n">
        <x:f>F900/D900</x:f>
        <x:v>0</x:v>
      </x:c>
      <x:c r="L900" s="13" t="n">
        <x:f>I900/D900</x:f>
        <x:v>8.639593908629442</x:v>
      </x:c>
      <x:c r="M900" s="6" t="str">
        <x:v>Included</x:v>
      </x:c>
    </x:row>
    <x:row r="901" ht="23" customHeight="1">
      <x:c r="B901" s="12" t="str">
        <x:v>8062</x:v>
      </x:c>
      <x:c r="C901" s="6" t="str">
        <x:v>Bay St / King St W</x:v>
      </x:c>
      <x:c r="D901" s="6" t="n">
        <x:v>780</x:v>
      </x:c>
      <x:c r="E901" s="6" t="n">
        <x:v>727</x:v>
      </x:c>
      <x:c r="F901" s="6" t="n">
        <x:v>53</x:v>
      </x:c>
      <x:c r="G901" s="6" t="n">
        <x:v>11</x:v>
      </x:c>
      <x:c r="H901" s="6" t="n">
        <x:v>114</x:v>
      </x:c>
      <x:c r="I901" s="6" t="n">
        <x:v>5321</x:v>
      </x:c>
      <x:c r="J901" s="11" t="n">
        <x:f>E901/D901</x:f>
        <x:v>0.9320512820512821</x:v>
      </x:c>
      <x:c r="K901" s="11" t="n">
        <x:f>F901/D901</x:f>
        <x:v>0.06794871794871794</x:v>
      </x:c>
      <x:c r="L901" s="13" t="n">
        <x:f>I901/D901</x:f>
        <x:v>6.8217948717948715</x:v>
      </x:c>
      <x:c r="M901" s="6" t="str">
        <x:v>Included</x:v>
      </x:c>
    </x:row>
    <x:row r="902" ht="23" customHeight="1">
      <x:c r="B902" s="12" t="str">
        <x:v>8063</x:v>
      </x:c>
      <x:c r="C902" s="6" t="str">
        <x:v>Maida Vale Park</x:v>
      </x:c>
      <x:c r="D902" s="6" t="n">
        <x:v>788</x:v>
      </x:c>
      <x:c r="E902" s="6" t="n">
        <x:v>788</x:v>
      </x:c>
      <x:c r="F902" s="6" t="n">
        <x:v>0</x:v>
      </x:c>
      <x:c r="G902" s="6" t="n">
        <x:v>11</x:v>
      </x:c>
      <x:c r="H902" s="6" t="n">
        <x:v>115</x:v>
      </x:c>
      <x:c r="I902" s="6" t="n">
        <x:v>7240</x:v>
      </x:c>
      <x:c r="J902" s="11" t="n">
        <x:f>E902/D902</x:f>
        <x:v>1</x:v>
      </x:c>
      <x:c r="K902" s="11" t="n">
        <x:f>F902/D902</x:f>
        <x:v>0</x:v>
      </x:c>
      <x:c r="L902" s="13" t="n">
        <x:f>I902/D902</x:f>
        <x:v>9.187817258883248</x:v>
      </x:c>
      <x:c r="M902" s="6" t="str">
        <x:v>Included</x:v>
      </x:c>
    </x:row>
    <x:row r="903" ht="23" customHeight="1">
      <x:c r="B903" s="12" t="str">
        <x:v>8064</x:v>
      </x:c>
      <x:c r="C903" s="6" t="str">
        <x:v>Kennedy Rd / Bertrand Ave</x:v>
      </x:c>
      <x:c r="D903" s="6" t="n">
        <x:v>788</x:v>
      </x:c>
      <x:c r="E903" s="6" t="n">
        <x:v>788</x:v>
      </x:c>
      <x:c r="F903" s="6" t="n">
        <x:v>0</x:v>
      </x:c>
      <x:c r="G903" s="6" t="n">
        <x:v>11</x:v>
      </x:c>
      <x:c r="H903" s="6" t="n">
        <x:v>115</x:v>
      </x:c>
      <x:c r="I903" s="6" t="n">
        <x:v>7280</x:v>
      </x:c>
      <x:c r="J903" s="11" t="n">
        <x:f>E903/D903</x:f>
        <x:v>1</x:v>
      </x:c>
      <x:c r="K903" s="11" t="n">
        <x:f>F903/D903</x:f>
        <x:v>0</x:v>
      </x:c>
      <x:c r="L903" s="13" t="n">
        <x:f>I903/D903</x:f>
        <x:v>9.238578680203046</x:v>
      </x:c>
      <x:c r="M903" s="6" t="str">
        <x:v>Included</x:v>
      </x:c>
    </x:row>
    <x:row r="904" ht="23" customHeight="1">
      <x:c r="B904" s="12" t="str">
        <x:v>8065</x:v>
      </x:c>
      <x:c r="C904" s="6" t="str">
        <x:v>Brockley Dr / Lawrence Ave E</x:v>
      </x:c>
      <x:c r="D904" s="6" t="n">
        <x:v>781</x:v>
      </x:c>
      <x:c r="E904" s="6" t="n">
        <x:v>781</x:v>
      </x:c>
      <x:c r="F904" s="6" t="n">
        <x:v>0</x:v>
      </x:c>
      <x:c r="G904" s="6" t="n">
        <x:v>11</x:v>
      </x:c>
      <x:c r="H904" s="6" t="n">
        <x:v>115</x:v>
      </x:c>
      <x:c r="I904" s="6" t="n">
        <x:v>6063</x:v>
      </x:c>
      <x:c r="J904" s="11" t="n">
        <x:f>E904/D904</x:f>
        <x:v>1</x:v>
      </x:c>
      <x:c r="K904" s="11" t="n">
        <x:f>F904/D904</x:f>
        <x:v>0</x:v>
      </x:c>
      <x:c r="L904" s="13" t="n">
        <x:f>I904/D904</x:f>
        <x:v>7.763124199743918</x:v>
      </x:c>
      <x:c r="M904" s="6" t="str">
        <x:v>Included</x:v>
      </x:c>
    </x:row>
    <x:row r="905" ht="23" customHeight="1">
      <x:c r="B905" s="12" t="str">
        <x:v>8066</x:v>
      </x:c>
      <x:c r="C905" s="6" t="str">
        <x:v>Danforth Rd / Savarin St</x:v>
      </x:c>
      <x:c r="D905" s="6" t="n">
        <x:v>791</x:v>
      </x:c>
      <x:c r="E905" s="6" t="n">
        <x:v>791</x:v>
      </x:c>
      <x:c r="F905" s="6" t="n">
        <x:v>0</x:v>
      </x:c>
      <x:c r="G905" s="6" t="n">
        <x:v>11</x:v>
      </x:c>
      <x:c r="H905" s="6" t="n">
        <x:v>115</x:v>
      </x:c>
      <x:c r="I905" s="6" t="n">
        <x:v>11070</x:v>
      </x:c>
      <x:c r="J905" s="11" t="n">
        <x:f>E905/D905</x:f>
        <x:v>1</x:v>
      </x:c>
      <x:c r="K905" s="11" t="n">
        <x:f>F905/D905</x:f>
        <x:v>0</x:v>
      </x:c>
      <x:c r="L905" s="13" t="n">
        <x:f>I905/D905</x:f>
        <x:v>13.994943109987357</x:v>
      </x:c>
      <x:c r="M905" s="6" t="str">
        <x:v>Included</x:v>
      </x:c>
    </x:row>
    <x:row r="906" ht="23" customHeight="1">
      <x:c r="B906" s="12" t="str">
        <x:v>8070</x:v>
      </x:c>
      <x:c r="C906" s="6" t="str">
        <x:v>Centre Island</x:v>
      </x:c>
      <x:c r="D906" s="6" t="n">
        <x:v>781</x:v>
      </x:c>
      <x:c r="E906" s="6" t="n">
        <x:v>781</x:v>
      </x:c>
      <x:c r="F906" s="6" t="n">
        <x:v>0</x:v>
      </x:c>
      <x:c r="G906" s="6" t="n">
        <x:v>11</x:v>
      </x:c>
      <x:c r="H906" s="6" t="n">
        <x:v>114</x:v>
      </x:c>
      <x:c r="I906" s="6" t="n">
        <x:v>14393</x:v>
      </x:c>
      <x:c r="J906" s="11" t="n">
        <x:f>E906/D906</x:f>
        <x:v>1</x:v>
      </x:c>
      <x:c r="K906" s="11" t="n">
        <x:f>F906/D906</x:f>
        <x:v>0</x:v>
      </x:c>
      <x:c r="L906" s="13" t="n">
        <x:f>I906/D906</x:f>
        <x:v>18.428937259923174</x:v>
      </x:c>
      <x:c r="M906" s="6" t="str">
        <x:v>Included</x:v>
      </x:c>
    </x:row>
    <x:row r="907" ht="23" customHeight="1">
      <x:c r="B907" s="12" t="str">
        <x:v>8073</x:v>
      </x:c>
      <x:c r="C907" s="6" t="str">
        <x:v>Finch Ave E / Midland Ave</x:v>
      </x:c>
      <x:c r="D907" s="6" t="n">
        <x:v>793</x:v>
      </x:c>
      <x:c r="E907" s="6" t="n">
        <x:v>793</x:v>
      </x:c>
      <x:c r="F907" s="6" t="n">
        <x:v>0</x:v>
      </x:c>
      <x:c r="G907" s="6" t="n">
        <x:v>11</x:v>
      </x:c>
      <x:c r="H907" s="6" t="n">
        <x:v>114</x:v>
      </x:c>
      <x:c r="I907" s="6" t="n">
        <x:v>10243</x:v>
      </x:c>
      <x:c r="J907" s="11" t="n">
        <x:f>E907/D907</x:f>
        <x:v>1</x:v>
      </x:c>
      <x:c r="K907" s="11" t="n">
        <x:f>F907/D907</x:f>
        <x:v>0</x:v>
      </x:c>
      <x:c r="L907" s="13" t="n">
        <x:f>I907/D907</x:f>
        <x:v>12.916771752837327</x:v>
      </x:c>
      <x:c r="M907" s="6" t="str">
        <x:v>Included</x:v>
      </x:c>
    </x:row>
    <x:row r="908" ht="23" customHeight="1">
      <x:c r="B908" s="12" t="str">
        <x:v>8074</x:v>
      </x:c>
      <x:c r="C908" s="6" t="str">
        <x:v>Huntingwood Dr / Midland Ave</x:v>
      </x:c>
      <x:c r="D908" s="6" t="n">
        <x:v>778</x:v>
      </x:c>
      <x:c r="E908" s="6" t="n">
        <x:v>778</x:v>
      </x:c>
      <x:c r="F908" s="6" t="n">
        <x:v>0</x:v>
      </x:c>
      <x:c r="G908" s="6" t="n">
        <x:v>11</x:v>
      </x:c>
      <x:c r="H908" s="6" t="n">
        <x:v>114</x:v>
      </x:c>
      <x:c r="I908" s="6" t="n">
        <x:v>6733</x:v>
      </x:c>
      <x:c r="J908" s="11" t="n">
        <x:f>E908/D908</x:f>
        <x:v>1</x:v>
      </x:c>
      <x:c r="K908" s="11" t="n">
        <x:f>F908/D908</x:f>
        <x:v>0</x:v>
      </x:c>
      <x:c r="L908" s="13" t="n">
        <x:f>I908/D908</x:f>
        <x:v>8.654241645244216</x:v>
      </x:c>
      <x:c r="M908" s="6" t="str">
        <x:v>Included</x:v>
      </x:c>
    </x:row>
    <x:row r="909" ht="23" customHeight="1">
      <x:c r="B909" s="12" t="str">
        <x:v>8075</x:v>
      </x:c>
      <x:c r="C909" s="6" t="str">
        <x:v>Marine Parade Dr / Humber Bay Shores Park Trl</x:v>
      </x:c>
      <x:c r="D909" s="6" t="n">
        <x:v>785</x:v>
      </x:c>
      <x:c r="E909" s="6" t="n">
        <x:v>546</x:v>
      </x:c>
      <x:c r="F909" s="6" t="n">
        <x:v>239</x:v>
      </x:c>
      <x:c r="G909" s="6" t="n">
        <x:v>11</x:v>
      </x:c>
      <x:c r="H909" s="6" t="n">
        <x:v>115</x:v>
      </x:c>
      <x:c r="I909" s="6" t="n">
        <x:v>1877</x:v>
      </x:c>
      <x:c r="J909" s="11" t="n">
        <x:f>E909/D909</x:f>
        <x:v>0.6955414012738853</x:v>
      </x:c>
      <x:c r="K909" s="11" t="n">
        <x:f>F909/D909</x:f>
        <x:v>0.30445859872611464</x:v>
      </x:c>
      <x:c r="L909" s="13" t="n">
        <x:f>I909/D909</x:f>
        <x:v>2.391082802547771</x:v>
      </x:c>
      <x:c r="M909" s="6" t="str">
        <x:v>Included</x:v>
      </x:c>
    </x:row>
    <x:row r="910" ht="23" customHeight="1">
      <x:c r="B910" s="12" t="str">
        <x:v>8076</x:v>
      </x:c>
      <x:c r="C910" s="6" t="str">
        <x:v>Warden Ave / Huntingwood Dr</x:v>
      </x:c>
      <x:c r="D910" s="6" t="n">
        <x:v>788</x:v>
      </x:c>
      <x:c r="E910" s="6" t="n">
        <x:v>788</x:v>
      </x:c>
      <x:c r="F910" s="6" t="n">
        <x:v>0</x:v>
      </x:c>
      <x:c r="G910" s="6" t="n">
        <x:v>11</x:v>
      </x:c>
      <x:c r="H910" s="6" t="n">
        <x:v>115</x:v>
      </x:c>
      <x:c r="I910" s="6" t="n">
        <x:v>6107</x:v>
      </x:c>
      <x:c r="J910" s="11" t="n">
        <x:f>E910/D910</x:f>
        <x:v>1</x:v>
      </x:c>
      <x:c r="K910" s="11" t="n">
        <x:f>F910/D910</x:f>
        <x:v>0</x:v>
      </x:c>
      <x:c r="L910" s="13" t="n">
        <x:f>I910/D910</x:f>
        <x:v>7.75</x:v>
      </x:c>
      <x:c r="M910" s="6" t="str">
        <x:v>Included</x:v>
      </x:c>
    </x:row>
    <x:row r="911" ht="23" customHeight="1">
      <x:c r="B911" s="12" t="str">
        <x:v>8077</x:v>
      </x:c>
      <x:c r="C911" s="6" t="str">
        <x:v>Silver Springs Blvd / Birchmount Rd</x:v>
      </x:c>
      <x:c r="D911" s="6" t="n">
        <x:v>789</x:v>
      </x:c>
      <x:c r="E911" s="6" t="n">
        <x:v>789</x:v>
      </x:c>
      <x:c r="F911" s="6" t="n">
        <x:v>0</x:v>
      </x:c>
      <x:c r="G911" s="6" t="n">
        <x:v>11</x:v>
      </x:c>
      <x:c r="H911" s="6" t="n">
        <x:v>115</x:v>
      </x:c>
      <x:c r="I911" s="6" t="n">
        <x:v>7069</x:v>
      </x:c>
      <x:c r="J911" s="11" t="n">
        <x:f>E911/D911</x:f>
        <x:v>1</x:v>
      </x:c>
      <x:c r="K911" s="11" t="n">
        <x:f>F911/D911</x:f>
        <x:v>0</x:v>
      </x:c>
      <x:c r="L911" s="13" t="n">
        <x:f>I911/D911</x:f>
        <x:v>8.959442332065906</x:v>
      </x:c>
      <x:c r="M911" s="6" t="str">
        <x:v>Included</x:v>
      </x:c>
    </x:row>
    <x:row r="912" ht="23" customHeight="1">
      <x:c r="B912" s="12" t="str">
        <x:v>8078</x:v>
      </x:c>
      <x:c r="C912" s="6" t="str">
        <x:v>Victoria Park Ave / Patrick Blvd</x:v>
      </x:c>
      <x:c r="D912" s="6" t="n">
        <x:v>783</x:v>
      </x:c>
      <x:c r="E912" s="6" t="n">
        <x:v>783</x:v>
      </x:c>
      <x:c r="F912" s="6" t="n">
        <x:v>0</x:v>
      </x:c>
      <x:c r="G912" s="6" t="n">
        <x:v>11</x:v>
      </x:c>
      <x:c r="H912" s="6" t="n">
        <x:v>114</x:v>
      </x:c>
      <x:c r="I912" s="6" t="n">
        <x:v>8101</x:v>
      </x:c>
      <x:c r="J912" s="11" t="n">
        <x:f>E912/D912</x:f>
        <x:v>1</x:v>
      </x:c>
      <x:c r="K912" s="11" t="n">
        <x:f>F912/D912</x:f>
        <x:v>0</x:v>
      </x:c>
      <x:c r="L912" s="13" t="n">
        <x:f>I912/D912</x:f>
        <x:v>10.34610472541507</x:v>
      </x:c>
      <x:c r="M912" s="6" t="str">
        <x:v>Included</x:v>
      </x:c>
    </x:row>
    <x:row r="913" ht="23" customHeight="1">
      <x:c r="B913" s="12" t="str">
        <x:v>8079</x:v>
      </x:c>
      <x:c r="C913" s="6" t="str">
        <x:v>Aurora Ct / Bridletowne Cir</x:v>
      </x:c>
      <x:c r="D913" s="6" t="n">
        <x:v>789</x:v>
      </x:c>
      <x:c r="E913" s="6" t="n">
        <x:v>789</x:v>
      </x:c>
      <x:c r="F913" s="6" t="n">
        <x:v>0</x:v>
      </x:c>
      <x:c r="G913" s="6" t="n">
        <x:v>11</x:v>
      </x:c>
      <x:c r="H913" s="6" t="n">
        <x:v>114</x:v>
      </x:c>
      <x:c r="I913" s="6" t="n">
        <x:v>5014</x:v>
      </x:c>
      <x:c r="J913" s="11" t="n">
        <x:f>E913/D913</x:f>
        <x:v>1</x:v>
      </x:c>
      <x:c r="K913" s="11" t="n">
        <x:f>F913/D913</x:f>
        <x:v>0</x:v>
      </x:c>
      <x:c r="L913" s="13" t="n">
        <x:f>I913/D913</x:f>
        <x:v>6.354879594423321</x:v>
      </x:c>
      <x:c r="M913" s="6" t="str">
        <x:v>Included</x:v>
      </x:c>
    </x:row>
    <x:row r="914" ht="23" customHeight="1">
      <x:c r="B914" s="12" t="str">
        <x:v>8080</x:v>
      </x:c>
      <x:c r="C914" s="6" t="str">
        <x:v>Bay Mills Blvd / Birchmount Ave</x:v>
      </x:c>
      <x:c r="D914" s="6" t="n">
        <x:v>787</x:v>
      </x:c>
      <x:c r="E914" s="6" t="n">
        <x:v>787</x:v>
      </x:c>
      <x:c r="F914" s="6" t="n">
        <x:v>0</x:v>
      </x:c>
      <x:c r="G914" s="6" t="n">
        <x:v>11</x:v>
      </x:c>
      <x:c r="H914" s="6" t="n">
        <x:v>115</x:v>
      </x:c>
      <x:c r="I914" s="6" t="n">
        <x:v>8433</x:v>
      </x:c>
      <x:c r="J914" s="11" t="n">
        <x:f>E914/D914</x:f>
        <x:v>1</x:v>
      </x:c>
      <x:c r="K914" s="11" t="n">
        <x:f>F914/D914</x:f>
        <x:v>0</x:v>
      </x:c>
      <x:c r="L914" s="13" t="n">
        <x:f>I914/D914</x:f>
        <x:v>10.715374841168996</x:v>
      </x:c>
      <x:c r="M914" s="6" t="str">
        <x:v>Included</x:v>
      </x:c>
    </x:row>
    <x:row r="915" ht="23" customHeight="1">
      <x:c r="B915" s="12" t="str">
        <x:v>8081</x:v>
      </x:c>
      <x:c r="C915" s="6" t="str">
        <x:v>Bridlewood Park</x:v>
      </x:c>
      <x:c r="D915" s="6" t="n">
        <x:v>789</x:v>
      </x:c>
      <x:c r="E915" s="6" t="n">
        <x:v>789</x:v>
      </x:c>
      <x:c r="F915" s="6" t="n">
        <x:v>0</x:v>
      </x:c>
      <x:c r="G915" s="6" t="n">
        <x:v>11</x:v>
      </x:c>
      <x:c r="H915" s="6" t="n">
        <x:v>115</x:v>
      </x:c>
      <x:c r="I915" s="6" t="n">
        <x:v>5185</x:v>
      </x:c>
      <x:c r="J915" s="11" t="n">
        <x:f>E915/D915</x:f>
        <x:v>1</x:v>
      </x:c>
      <x:c r="K915" s="11" t="n">
        <x:f>F915/D915</x:f>
        <x:v>0</x:v>
      </x:c>
      <x:c r="L915" s="13" t="n">
        <x:f>I915/D915</x:f>
        <x:v>6.571609632446134</x:v>
      </x:c>
      <x:c r="M915" s="6" t="str">
        <x:v>Included</x:v>
      </x:c>
    </x:row>
    <x:row r="916" ht="23" customHeight="1">
      <x:c r="B916" s="12" t="str">
        <x:v>8082</x:v>
      </x:c>
      <x:c r="C916" s="6" t="str">
        <x:v>Village Green Square</x:v>
      </x:c>
      <x:c r="D916" s="6" t="n">
        <x:v>788</x:v>
      </x:c>
      <x:c r="E916" s="6" t="n">
        <x:v>788</x:v>
      </x:c>
      <x:c r="F916" s="6" t="n">
        <x:v>0</x:v>
      </x:c>
      <x:c r="G916" s="6" t="n">
        <x:v>11</x:v>
      </x:c>
      <x:c r="H916" s="6" t="n">
        <x:v>114</x:v>
      </x:c>
      <x:c r="I916" s="6" t="n">
        <x:v>10739</x:v>
      </x:c>
      <x:c r="J916" s="11" t="n">
        <x:f>E916/D916</x:f>
        <x:v>1</x:v>
      </x:c>
      <x:c r="K916" s="11" t="n">
        <x:f>F916/D916</x:f>
        <x:v>0</x:v>
      </x:c>
      <x:c r="L916" s="13" t="n">
        <x:f>I916/D916</x:f>
        <x:v>13.628172588832488</x:v>
      </x:c>
      <x:c r="M916" s="6" t="str">
        <x:v>Included</x:v>
      </x:c>
    </x:row>
    <x:row r="917" ht="23" customHeight="1">
      <x:c r="B917" s="12" t="str">
        <x:v>8083</x:v>
      </x:c>
      <x:c r="C917" s="6" t="str">
        <x:v>Eastview Park</x:v>
      </x:c>
      <x:c r="D917" s="6" t="n">
        <x:v>789</x:v>
      </x:c>
      <x:c r="E917" s="6" t="n">
        <x:v>789</x:v>
      </x:c>
      <x:c r="F917" s="6" t="n">
        <x:v>0</x:v>
      </x:c>
      <x:c r="G917" s="6" t="n">
        <x:v>11</x:v>
      </x:c>
      <x:c r="H917" s="6" t="n">
        <x:v>114</x:v>
      </x:c>
      <x:c r="I917" s="6" t="n">
        <x:v>8008</x:v>
      </x:c>
      <x:c r="J917" s="11" t="n">
        <x:f>E917/D917</x:f>
        <x:v>1</x:v>
      </x:c>
      <x:c r="K917" s="11" t="n">
        <x:f>F917/D917</x:f>
        <x:v>0</x:v>
      </x:c>
      <x:c r="L917" s="13" t="n">
        <x:f>I917/D917</x:f>
        <x:v>10.14955640050697</x:v>
      </x:c>
      <x:c r="M917" s="6" t="str">
        <x:v>Included</x:v>
      </x:c>
    </x:row>
    <x:row r="918" ht="23" customHeight="1">
      <x:c r="B918" s="12" t="str">
        <x:v>8084</x:v>
      </x:c>
      <x:c r="C918" s="6" t="str">
        <x:v>Grenville St / Yonge St</x:v>
      </x:c>
      <x:c r="D918" s="6" t="n">
        <x:v>756</x:v>
      </x:c>
      <x:c r="E918" s="6" t="n">
        <x:v>756</x:v>
      </x:c>
      <x:c r="F918" s="6" t="n">
        <x:v>0</x:v>
      </x:c>
      <x:c r="G918" s="6" t="n">
        <x:v>11</x:v>
      </x:c>
      <x:c r="H918" s="6" t="n">
        <x:v>113</x:v>
      </x:c>
      <x:c r="I918" s="6" t="n">
        <x:v>8649</x:v>
      </x:c>
      <x:c r="J918" s="11" t="n">
        <x:f>E918/D918</x:f>
        <x:v>1</x:v>
      </x:c>
      <x:c r="K918" s="11" t="n">
        <x:f>F918/D918</x:f>
        <x:v>0</x:v>
      </x:c>
      <x:c r="L918" s="13" t="n">
        <x:f>I918/D918</x:f>
        <x:v>11.44047619047619</x:v>
      </x:c>
      <x:c r="M918" s="6" t="str">
        <x:v>Included</x:v>
      </x:c>
    </x:row>
    <x:row r="919" ht="23" customHeight="1">
      <x:c r="B919" s="12" t="str">
        <x:v>8085</x:v>
      </x:c>
      <x:c r="C919" s="6" t="str">
        <x:v>Lawrence Ave W / Bathurst St</x:v>
      </x:c>
      <x:c r="D919" s="6" t="n">
        <x:v>787</x:v>
      </x:c>
      <x:c r="E919" s="6" t="n">
        <x:v>787</x:v>
      </x:c>
      <x:c r="F919" s="6" t="n">
        <x:v>0</x:v>
      </x:c>
      <x:c r="G919" s="6" t="n">
        <x:v>11</x:v>
      </x:c>
      <x:c r="H919" s="6" t="n">
        <x:v>115</x:v>
      </x:c>
      <x:c r="I919" s="6" t="n">
        <x:v>6914</x:v>
      </x:c>
      <x:c r="J919" s="11" t="n">
        <x:f>E919/D919</x:f>
        <x:v>1</x:v>
      </x:c>
      <x:c r="K919" s="11" t="n">
        <x:f>F919/D919</x:f>
        <x:v>0</x:v>
      </x:c>
      <x:c r="L919" s="13" t="n">
        <x:f>I919/D919</x:f>
        <x:v>8.785260482846251</x:v>
      </x:c>
      <x:c r="M919" s="6" t="str">
        <x:v>Included</x:v>
      </x:c>
    </x:row>
    <x:row r="920" ht="23" customHeight="1">
      <x:c r="B920" s="12" t="str">
        <x:v>8086</x:v>
      </x:c>
      <x:c r="C920" s="6" t="str">
        <x:v>Lawrence Ave W / Dufferin St</x:v>
      </x:c>
      <x:c r="D920" s="6" t="n">
        <x:v>782</x:v>
      </x:c>
      <x:c r="E920" s="6" t="n">
        <x:v>782</x:v>
      </x:c>
      <x:c r="F920" s="6" t="n">
        <x:v>0</x:v>
      </x:c>
      <x:c r="G920" s="6" t="n">
        <x:v>11</x:v>
      </x:c>
      <x:c r="H920" s="6" t="n">
        <x:v>115</x:v>
      </x:c>
      <x:c r="I920" s="6" t="n">
        <x:v>10835</x:v>
      </x:c>
      <x:c r="J920" s="11" t="n">
        <x:f>E920/D920</x:f>
        <x:v>1</x:v>
      </x:c>
      <x:c r="K920" s="11" t="n">
        <x:f>F920/D920</x:f>
        <x:v>0</x:v>
      </x:c>
      <x:c r="L920" s="13" t="n">
        <x:f>I920/D920</x:f>
        <x:v>13.85549872122762</x:v>
      </x:c>
      <x:c r="M920" s="6" t="str">
        <x:v>Included</x:v>
      </x:c>
    </x:row>
    <x:row r="921" ht="23" customHeight="1">
      <x:c r="B921" s="12" t="str">
        <x:v>8087</x:v>
      </x:c>
      <x:c r="C921" s="6" t="str">
        <x:v>Front St E / Cooperage St</x:v>
      </x:c>
      <x:c r="D921" s="6" t="n">
        <x:v>785</x:v>
      </x:c>
      <x:c r="E921" s="6" t="n">
        <x:v>635</x:v>
      </x:c>
      <x:c r="F921" s="6" t="n">
        <x:v>150</x:v>
      </x:c>
      <x:c r="G921" s="6" t="n">
        <x:v>11</x:v>
      </x:c>
      <x:c r="H921" s="6" t="n">
        <x:v>115</x:v>
      </x:c>
      <x:c r="I921" s="6" t="n">
        <x:v>7458</x:v>
      </x:c>
      <x:c r="J921" s="11" t="n">
        <x:f>E921/D921</x:f>
        <x:v>0.8089171974522293</x:v>
      </x:c>
      <x:c r="K921" s="11" t="n">
        <x:f>F921/D921</x:f>
        <x:v>0.1910828025477707</x:v>
      </x:c>
      <x:c r="L921" s="13" t="n">
        <x:f>I921/D921</x:f>
        <x:v>9.50063694267516</x:v>
      </x:c>
      <x:c r="M921" s="6" t="str">
        <x:v>Included</x:v>
      </x:c>
    </x:row>
    <x:row r="922" ht="23" customHeight="1">
      <x:c r="B922" s="12" t="str">
        <x:v>8088</x:v>
      </x:c>
      <x:c r="C922" s="6" t="str">
        <x:v>Lawrence Ave W / Renfield St</x:v>
      </x:c>
      <x:c r="D922" s="6" t="n">
        <x:v>790</x:v>
      </x:c>
      <x:c r="E922" s="6" t="n">
        <x:v>790</x:v>
      </x:c>
      <x:c r="F922" s="6" t="n">
        <x:v>0</x:v>
      </x:c>
      <x:c r="G922" s="6" t="n">
        <x:v>11</x:v>
      </x:c>
      <x:c r="H922" s="6" t="n">
        <x:v>114</x:v>
      </x:c>
      <x:c r="I922" s="6" t="n">
        <x:v>7774</x:v>
      </x:c>
      <x:c r="J922" s="11" t="n">
        <x:f>E922/D922</x:f>
        <x:v>1</x:v>
      </x:c>
      <x:c r="K922" s="11" t="n">
        <x:f>F922/D922</x:f>
        <x:v>0</x:v>
      </x:c>
      <x:c r="L922" s="13" t="n">
        <x:f>I922/D922</x:f>
        <x:v>9.840506329113923</x:v>
      </x:c>
      <x:c r="M922" s="6" t="str">
        <x:v>Included</x:v>
      </x:c>
    </x:row>
    <x:row r="923" ht="23" customHeight="1">
      <x:c r="B923" s="12" t="str">
        <x:v>8089</x:v>
      </x:c>
      <x:c r="C923" s="6" t="str">
        <x:v>Lawrence Ave W / Pine St</x:v>
      </x:c>
      <x:c r="D923" s="6" t="n">
        <x:v>791</x:v>
      </x:c>
      <x:c r="E923" s="6" t="n">
        <x:v>791</x:v>
      </x:c>
      <x:c r="F923" s="6" t="n">
        <x:v>0</x:v>
      </x:c>
      <x:c r="G923" s="6" t="n">
        <x:v>11</x:v>
      </x:c>
      <x:c r="H923" s="6" t="n">
        <x:v>114</x:v>
      </x:c>
      <x:c r="I923" s="6" t="n">
        <x:v>11192</x:v>
      </x:c>
      <x:c r="J923" s="11" t="n">
        <x:f>E923/D923</x:f>
        <x:v>1</x:v>
      </x:c>
      <x:c r="K923" s="11" t="n">
        <x:f>F923/D923</x:f>
        <x:v>0</x:v>
      </x:c>
      <x:c r="L923" s="13" t="n">
        <x:f>I923/D923</x:f>
        <x:v>14.149178255372945</x:v>
      </x:c>
      <x:c r="M923" s="6" t="str">
        <x:v>Included</x:v>
      </x:c>
    </x:row>
    <x:row r="924" ht="23" customHeight="1">
      <x:c r="B924" s="12" t="str">
        <x:v>8090</x:v>
      </x:c>
      <x:c r="C924" s="6" t="str">
        <x:v>Church St / Cypress St</x:v>
      </x:c>
      <x:c r="D924" s="6" t="n">
        <x:v>790</x:v>
      </x:c>
      <x:c r="E924" s="6" t="n">
        <x:v>790</x:v>
      </x:c>
      <x:c r="F924" s="6" t="n">
        <x:v>0</x:v>
      </x:c>
      <x:c r="G924" s="6" t="n">
        <x:v>11</x:v>
      </x:c>
      <x:c r="H924" s="6" t="n">
        <x:v>115</x:v>
      </x:c>
      <x:c r="I924" s="6" t="n">
        <x:v>4584</x:v>
      </x:c>
      <x:c r="J924" s="11" t="n">
        <x:f>E924/D924</x:f>
        <x:v>1</x:v>
      </x:c>
      <x:c r="K924" s="11" t="n">
        <x:f>F924/D924</x:f>
        <x:v>0</x:v>
      </x:c>
      <x:c r="L924" s="13" t="n">
        <x:f>I924/D924</x:f>
        <x:v>5.80253164556962</x:v>
      </x:c>
      <x:c r="M924" s="6" t="str">
        <x:v>Included</x:v>
      </x:c>
    </x:row>
    <x:row r="925" ht="23" customHeight="1">
      <x:c r="B925" s="12" t="str">
        <x:v>8091</x:v>
      </x:c>
      <x:c r="C925" s="6" t="str">
        <x:v>Rockcliffe Blvd / Alliance Ave</x:v>
      </x:c>
      <x:c r="D925" s="6" t="n">
        <x:v>786</x:v>
      </x:c>
      <x:c r="E925" s="6" t="n">
        <x:v>786</x:v>
      </x:c>
      <x:c r="F925" s="6" t="n">
        <x:v>0</x:v>
      </x:c>
      <x:c r="G925" s="6" t="n">
        <x:v>11</x:v>
      </x:c>
      <x:c r="H925" s="6" t="n">
        <x:v>114</x:v>
      </x:c>
      <x:c r="I925" s="6" t="n">
        <x:v>3850</x:v>
      </x:c>
      <x:c r="J925" s="11" t="n">
        <x:f>E925/D925</x:f>
        <x:v>1</x:v>
      </x:c>
      <x:c r="K925" s="11" t="n">
        <x:f>F925/D925</x:f>
        <x:v>0</x:v>
      </x:c>
      <x:c r="L925" s="13" t="n">
        <x:f>I925/D925</x:f>
        <x:v>4.89821882951654</x:v>
      </x:c>
      <x:c r="M925" s="6" t="str">
        <x:v>Included</x:v>
      </x:c>
    </x:row>
    <x:row r="926" ht="23" customHeight="1">
      <x:c r="B926" s="12" t="str">
        <x:v>8092</x:v>
      </x:c>
      <x:c r="C926" s="6" t="str">
        <x:v>Jane St / Woolner Ave (Woolner Park)</x:v>
      </x:c>
      <x:c r="D926" s="6" t="n">
        <x:v>783</x:v>
      </x:c>
      <x:c r="E926" s="6" t="n">
        <x:v>783</x:v>
      </x:c>
      <x:c r="F926" s="6" t="n">
        <x:v>0</x:v>
      </x:c>
      <x:c r="G926" s="6" t="n">
        <x:v>11</x:v>
      </x:c>
      <x:c r="H926" s="6" t="n">
        <x:v>113</x:v>
      </x:c>
      <x:c r="I926" s="6" t="n">
        <x:v>9155</x:v>
      </x:c>
      <x:c r="J926" s="11" t="n">
        <x:f>E926/D926</x:f>
        <x:v>1</x:v>
      </x:c>
      <x:c r="K926" s="11" t="n">
        <x:f>F926/D926</x:f>
        <x:v>0</x:v>
      </x:c>
      <x:c r="L926" s="13" t="n">
        <x:f>I926/D926</x:f>
        <x:v>11.692209450830141</x:v>
      </x:c>
      <x:c r="M926" s="6" t="str">
        <x:v>Included</x:v>
      </x:c>
    </x:row>
    <x:row r="927" ht="23" customHeight="1">
      <x:c r="B927" s="12" t="str">
        <x:v>8093</x:v>
      </x:c>
      <x:c r="C927" s="6" t="str">
        <x:v>Jane St / Spenvalley Dr</x:v>
      </x:c>
      <x:c r="D927" s="6" t="n">
        <x:v>784</x:v>
      </x:c>
      <x:c r="E927" s="6" t="n">
        <x:v>784</x:v>
      </x:c>
      <x:c r="F927" s="6" t="n">
        <x:v>0</x:v>
      </x:c>
      <x:c r="G927" s="6" t="n">
        <x:v>11</x:v>
      </x:c>
      <x:c r="H927" s="6" t="n">
        <x:v>115</x:v>
      </x:c>
      <x:c r="I927" s="6" t="n">
        <x:v>10664</x:v>
      </x:c>
      <x:c r="J927" s="11" t="n">
        <x:f>E927/D927</x:f>
        <x:v>1</x:v>
      </x:c>
      <x:c r="K927" s="11" t="n">
        <x:f>F927/D927</x:f>
        <x:v>0</x:v>
      </x:c>
      <x:c r="L927" s="13" t="n">
        <x:f>I927/D927</x:f>
        <x:v>13.60204081632653</x:v>
      </x:c>
      <x:c r="M927" s="6" t="str">
        <x:v>Included</x:v>
      </x:c>
    </x:row>
    <x:row r="928" ht="23" customHeight="1">
      <x:c r="B928" s="12" t="str">
        <x:v>8094</x:v>
      </x:c>
      <x:c r="C928" s="6" t="str">
        <x:v>Baycrest Ave / Bathurst St</x:v>
      </x:c>
      <x:c r="D928" s="6" t="n">
        <x:v>784</x:v>
      </x:c>
      <x:c r="E928" s="6" t="n">
        <x:v>784</x:v>
      </x:c>
      <x:c r="F928" s="6" t="n">
        <x:v>0</x:v>
      </x:c>
      <x:c r="G928" s="6" t="n">
        <x:v>11</x:v>
      </x:c>
      <x:c r="H928" s="6" t="n">
        <x:v>114</x:v>
      </x:c>
      <x:c r="I928" s="6" t="n">
        <x:v>13707</x:v>
      </x:c>
      <x:c r="J928" s="11" t="n">
        <x:f>E928/D928</x:f>
        <x:v>1</x:v>
      </x:c>
      <x:c r="K928" s="11" t="n">
        <x:f>F928/D928</x:f>
        <x:v>0</x:v>
      </x:c>
      <x:c r="L928" s="13" t="n">
        <x:f>I928/D928</x:f>
        <x:v>17.48341836734694</x:v>
      </x:c>
      <x:c r="M928" s="6" t="str">
        <x:v>Included</x:v>
      </x:c>
    </x:row>
    <x:row r="929" ht="23" customHeight="1">
      <x:c r="B929" s="12" t="str">
        <x:v>8095</x:v>
      </x:c>
      <x:c r="C929" s="6" t="str">
        <x:v>Weston Rd / Gaydon Ave</x:v>
      </x:c>
      <x:c r="D929" s="6" t="n">
        <x:v>786</x:v>
      </x:c>
      <x:c r="E929" s="6" t="n">
        <x:v>786</x:v>
      </x:c>
      <x:c r="F929" s="6" t="n">
        <x:v>0</x:v>
      </x:c>
      <x:c r="G929" s="6" t="n">
        <x:v>11</x:v>
      </x:c>
      <x:c r="H929" s="6" t="n">
        <x:v>114</x:v>
      </x:c>
      <x:c r="I929" s="6" t="n">
        <x:v>6726</x:v>
      </x:c>
      <x:c r="J929" s="11" t="n">
        <x:f>E929/D929</x:f>
        <x:v>1</x:v>
      </x:c>
      <x:c r="K929" s="11" t="n">
        <x:f>F929/D929</x:f>
        <x:v>0</x:v>
      </x:c>
      <x:c r="L929" s="13" t="n">
        <x:f>I929/D929</x:f>
        <x:v>8.557251908396946</x:v>
      </x:c>
      <x:c r="M929" s="6" t="str">
        <x:v>Included</x:v>
      </x:c>
    </x:row>
    <x:row r="930" ht="23" customHeight="1">
      <x:c r="B930" s="12" t="str">
        <x:v>8096</x:v>
      </x:c>
      <x:c r="C930" s="6" t="str">
        <x:v>Commissioners St / Bouchette St</x:v>
      </x:c>
      <x:c r="D930" s="6" t="n">
        <x:v>784</x:v>
      </x:c>
      <x:c r="E930" s="6" t="n">
        <x:v>779</x:v>
      </x:c>
      <x:c r="F930" s="6" t="n">
        <x:v>5</x:v>
      </x:c>
      <x:c r="G930" s="6" t="n">
        <x:v>11</x:v>
      </x:c>
      <x:c r="H930" s="6" t="n">
        <x:v>114</x:v>
      </x:c>
      <x:c r="I930" s="6" t="n">
        <x:v>8950</x:v>
      </x:c>
      <x:c r="J930" s="11" t="n">
        <x:f>E930/D930</x:f>
        <x:v>0.9936224489795918</x:v>
      </x:c>
      <x:c r="K930" s="11" t="n">
        <x:f>F930/D930</x:f>
        <x:v>0.006377551020408163</x:v>
      </x:c>
      <x:c r="L930" s="13" t="n">
        <x:f>I930/D930</x:f>
        <x:v>11.415816326530612</x:v>
      </x:c>
      <x:c r="M930" s="6" t="str">
        <x:v>Included</x:v>
      </x:c>
    </x:row>
    <x:row r="931" ht="23" customHeight="1">
      <x:c r="B931" s="12" t="str">
        <x:v>8099</x:v>
      </x:c>
      <x:c r="C931" s="6" t="str">
        <x:v>Jane St / Milo Park Gt</x:v>
      </x:c>
      <x:c r="D931" s="6" t="n">
        <x:v>784</x:v>
      </x:c>
      <x:c r="E931" s="6" t="n">
        <x:v>784</x:v>
      </x:c>
      <x:c r="F931" s="6" t="n">
        <x:v>0</x:v>
      </x:c>
      <x:c r="G931" s="6" t="n">
        <x:v>11</x:v>
      </x:c>
      <x:c r="H931" s="6" t="n">
        <x:v>114</x:v>
      </x:c>
      <x:c r="I931" s="6" t="n">
        <x:v>6106</x:v>
      </x:c>
      <x:c r="J931" s="11" t="n">
        <x:f>E931/D931</x:f>
        <x:v>1</x:v>
      </x:c>
      <x:c r="K931" s="11" t="n">
        <x:f>F931/D931</x:f>
        <x:v>0</x:v>
      </x:c>
      <x:c r="L931" s="13" t="n">
        <x:f>I931/D931</x:f>
        <x:v>7.788265306122449</x:v>
      </x:c>
      <x:c r="M931" s="6" t="str">
        <x:v>Included</x:v>
      </x:c>
    </x:row>
    <x:row r="932" ht="23" customHeight="1">
      <x:c r="B932" s="12" t="str">
        <x:v>8101</x:v>
      </x:c>
      <x:c r="C932" s="6" t="str">
        <x:v>Pape Ave / Hopedale Ave</x:v>
      </x:c>
      <x:c r="D932" s="6" t="n">
        <x:v>785</x:v>
      </x:c>
      <x:c r="E932" s="6" t="n">
        <x:v>785</x:v>
      </x:c>
      <x:c r="F932" s="6" t="n">
        <x:v>0</x:v>
      </x:c>
      <x:c r="G932" s="6" t="n">
        <x:v>11</x:v>
      </x:c>
      <x:c r="H932" s="6" t="n">
        <x:v>115</x:v>
      </x:c>
      <x:c r="I932" s="6" t="n">
        <x:v>9164</x:v>
      </x:c>
      <x:c r="J932" s="11" t="n">
        <x:f>E932/D932</x:f>
        <x:v>1</x:v>
      </x:c>
      <x:c r="K932" s="11" t="n">
        <x:f>F932/D932</x:f>
        <x:v>0</x:v>
      </x:c>
      <x:c r="L932" s="13" t="n">
        <x:f>I932/D932</x:f>
        <x:v>11.673885350318471</x:v>
      </x:c>
      <x:c r="M932" s="6" t="str">
        <x:v>Included</x:v>
      </x:c>
    </x:row>
    <x:row r="933" ht="23" customHeight="1">
      <x:c r="B933" s="12" t="str">
        <x:v>8102</x:v>
      </x:c>
      <x:c r="C933" s="6" t="str">
        <x:v>Sheppard Ave W / Magellan Dr</x:v>
      </x:c>
      <x:c r="D933" s="6" t="n">
        <x:v>785</x:v>
      </x:c>
      <x:c r="E933" s="6" t="n">
        <x:v>785</x:v>
      </x:c>
      <x:c r="F933" s="6" t="n">
        <x:v>0</x:v>
      </x:c>
      <x:c r="G933" s="6" t="n">
        <x:v>11</x:v>
      </x:c>
      <x:c r="H933" s="6" t="n">
        <x:v>114</x:v>
      </x:c>
      <x:c r="I933" s="6" t="n">
        <x:v>8909</x:v>
      </x:c>
      <x:c r="J933" s="11" t="n">
        <x:f>E933/D933</x:f>
        <x:v>1</x:v>
      </x:c>
      <x:c r="K933" s="11" t="n">
        <x:f>F933/D933</x:f>
        <x:v>0</x:v>
      </x:c>
      <x:c r="L933" s="13" t="n">
        <x:f>I933/D933</x:f>
        <x:v>11.349044585987262</x:v>
      </x:c>
      <x:c r="M933" s="6" t="str">
        <x:v>Included</x:v>
      </x:c>
    </x:row>
    <x:row r="934" ht="23" customHeight="1">
      <x:c r="B934" s="12" t="str">
        <x:v>8104</x:v>
      </x:c>
      <x:c r="C934" s="6" t="str">
        <x:v>Toronto Public Library - Agincourt</x:v>
      </x:c>
      <x:c r="D934" s="6" t="n">
        <x:v>781</x:v>
      </x:c>
      <x:c r="E934" s="6" t="n">
        <x:v>781</x:v>
      </x:c>
      <x:c r="F934" s="6" t="n">
        <x:v>0</x:v>
      </x:c>
      <x:c r="G934" s="6" t="n">
        <x:v>11</x:v>
      </x:c>
      <x:c r="H934" s="6" t="n">
        <x:v>116</x:v>
      </x:c>
      <x:c r="I934" s="6" t="n">
        <x:v>9281</x:v>
      </x:c>
      <x:c r="J934" s="11" t="n">
        <x:f>E934/D934</x:f>
        <x:v>1</x:v>
      </x:c>
      <x:c r="K934" s="11" t="n">
        <x:f>F934/D934</x:f>
        <x:v>0</x:v>
      </x:c>
      <x:c r="L934" s="13" t="n">
        <x:f>I934/D934</x:f>
        <x:v>11.88348271446863</x:v>
      </x:c>
      <x:c r="M934" s="6" t="str">
        <x:v>Included</x:v>
      </x:c>
    </x:row>
    <x:row r="935" ht="23" customHeight="1">
      <x:c r="B935" s="12" t="str">
        <x:v>8105</x:v>
      </x:c>
      <x:c r="C935" s="6" t="str">
        <x:v>Kennedy Rd / Finch Recreational Trail</x:v>
      </x:c>
      <x:c r="D935" s="6" t="n">
        <x:v>777</x:v>
      </x:c>
      <x:c r="E935" s="6" t="n">
        <x:v>777</x:v>
      </x:c>
      <x:c r="F935" s="6" t="n">
        <x:v>0</x:v>
      </x:c>
      <x:c r="G935" s="6" t="n">
        <x:v>11</x:v>
      </x:c>
      <x:c r="H935" s="6" t="n">
        <x:v>115</x:v>
      </x:c>
      <x:c r="I935" s="6" t="n">
        <x:v>8395</x:v>
      </x:c>
      <x:c r="J935" s="11" t="n">
        <x:f>E935/D935</x:f>
        <x:v>1</x:v>
      </x:c>
      <x:c r="K935" s="11" t="n">
        <x:f>F935/D935</x:f>
        <x:v>0</x:v>
      </x:c>
      <x:c r="L935" s="13" t="n">
        <x:f>I935/D935</x:f>
        <x:v>10.804375804375804</x:v>
      </x:c>
      <x:c r="M935" s="6" t="str">
        <x:v>Included</x:v>
      </x:c>
    </x:row>
    <x:row r="936" ht="23" customHeight="1">
      <x:c r="B936" s="12" t="str">
        <x:v>8106</x:v>
      </x:c>
      <x:c r="C936" s="6" t="str">
        <x:v>Memorial Park Ave / Kimbourne Ave</x:v>
      </x:c>
      <x:c r="D936" s="6" t="n">
        <x:v>789</x:v>
      </x:c>
      <x:c r="E936" s="6" t="n">
        <x:v>789</x:v>
      </x:c>
      <x:c r="F936" s="6" t="n">
        <x:v>0</x:v>
      </x:c>
      <x:c r="G936" s="6" t="n">
        <x:v>11</x:v>
      </x:c>
      <x:c r="H936" s="6" t="n">
        <x:v>115</x:v>
      </x:c>
      <x:c r="I936" s="6" t="n">
        <x:v>6658</x:v>
      </x:c>
      <x:c r="J936" s="11" t="n">
        <x:f>E936/D936</x:f>
        <x:v>1</x:v>
      </x:c>
      <x:c r="K936" s="11" t="n">
        <x:f>F936/D936</x:f>
        <x:v>0</x:v>
      </x:c>
      <x:c r="L936" s="13" t="n">
        <x:f>I936/D936</x:f>
        <x:v>8.438529784537389</x:v>
      </x:c>
      <x:c r="M936" s="6" t="str">
        <x:v>Included</x:v>
      </x:c>
    </x:row>
    <x:row r="937" ht="23" customHeight="1">
      <x:c r="B937" s="12" t="str">
        <x:v>8107</x:v>
      </x:c>
      <x:c r="C937" s="6" t="str">
        <x:v>Pitfield Rd / McCowan Rd</x:v>
      </x:c>
      <x:c r="D937" s="6" t="n">
        <x:v>787</x:v>
      </x:c>
      <x:c r="E937" s="6" t="n">
        <x:v>787</x:v>
      </x:c>
      <x:c r="F937" s="6" t="n">
        <x:v>0</x:v>
      </x:c>
      <x:c r="G937" s="6" t="n">
        <x:v>11</x:v>
      </x:c>
      <x:c r="H937" s="6" t="n">
        <x:v>115</x:v>
      </x:c>
      <x:c r="I937" s="6" t="n">
        <x:v>9447</x:v>
      </x:c>
      <x:c r="J937" s="11" t="n">
        <x:f>E937/D937</x:f>
        <x:v>1</x:v>
      </x:c>
      <x:c r="K937" s="11" t="n">
        <x:f>F937/D937</x:f>
        <x:v>0</x:v>
      </x:c>
      <x:c r="L937" s="13" t="n">
        <x:f>I937/D937</x:f>
        <x:v>12.003811944091487</x:v>
      </x:c>
      <x:c r="M937" s="6" t="str">
        <x:v>Included</x:v>
      </x:c>
    </x:row>
    <x:row r="938" ht="23" customHeight="1">
      <x:c r="B938" s="12" t="str">
        <x:v>8108</x:v>
      </x:c>
      <x:c r="C938" s="6" t="str">
        <x:v>Agincourt Recreation Centre</x:v>
      </x:c>
      <x:c r="D938" s="6" t="n">
        <x:v>793</x:v>
      </x:c>
      <x:c r="E938" s="6" t="n">
        <x:v>793</x:v>
      </x:c>
      <x:c r="F938" s="6" t="n">
        <x:v>0</x:v>
      </x:c>
      <x:c r="G938" s="6" t="n">
        <x:v>11</x:v>
      </x:c>
      <x:c r="H938" s="6" t="n">
        <x:v>114</x:v>
      </x:c>
      <x:c r="I938" s="6" t="n">
        <x:v>10148</x:v>
      </x:c>
      <x:c r="J938" s="11" t="n">
        <x:f>E938/D938</x:f>
        <x:v>1</x:v>
      </x:c>
      <x:c r="K938" s="11" t="n">
        <x:f>F938/D938</x:f>
        <x:v>0</x:v>
      </x:c>
      <x:c r="L938" s="13" t="n">
        <x:f>I938/D938</x:f>
        <x:v>12.796973518284993</x:v>
      </x:c>
      <x:c r="M938" s="6" t="str">
        <x:v>Included</x:v>
      </x:c>
    </x:row>
    <x:row r="939" ht="23" customHeight="1">
      <x:c r="B939" s="12" t="str">
        <x:v>8109</x:v>
      </x:c>
      <x:c r="C939" s="6" t="str">
        <x:v>Brimley Rd / E Highland Creek Trail</x:v>
      </x:c>
      <x:c r="D939" s="6" t="n">
        <x:v>787</x:v>
      </x:c>
      <x:c r="E939" s="6" t="n">
        <x:v>787</x:v>
      </x:c>
      <x:c r="F939" s="6" t="n">
        <x:v>0</x:v>
      </x:c>
      <x:c r="G939" s="6" t="n">
        <x:v>11</x:v>
      </x:c>
      <x:c r="H939" s="6" t="n">
        <x:v>115</x:v>
      </x:c>
      <x:c r="I939" s="6" t="n">
        <x:v>7385</x:v>
      </x:c>
      <x:c r="J939" s="11" t="n">
        <x:f>E939/D939</x:f>
        <x:v>1</x:v>
      </x:c>
      <x:c r="K939" s="11" t="n">
        <x:f>F939/D939</x:f>
        <x:v>0</x:v>
      </x:c>
      <x:c r="L939" s="13" t="n">
        <x:f>I939/D939</x:f>
        <x:v>9.383735705209657</x:v>
      </x:c>
      <x:c r="M939" s="6" t="str">
        <x:v>Included</x:v>
      </x:c>
    </x:row>
    <x:row r="940" ht="23" customHeight="1">
      <x:c r="B940" s="12" t="str">
        <x:v>8110</x:v>
      </x:c>
      <x:c r="C940" s="6" t="str">
        <x:v>Midland Ave / Finch Recreational Trail</x:v>
      </x:c>
      <x:c r="D940" s="6" t="n">
        <x:v>787</x:v>
      </x:c>
      <x:c r="E940" s="6" t="n">
        <x:v>787</x:v>
      </x:c>
      <x:c r="F940" s="6" t="n">
        <x:v>0</x:v>
      </x:c>
      <x:c r="G940" s="6" t="n">
        <x:v>11</x:v>
      </x:c>
      <x:c r="H940" s="6" t="n">
        <x:v>115</x:v>
      </x:c>
      <x:c r="I940" s="6" t="n">
        <x:v>8757</x:v>
      </x:c>
      <x:c r="J940" s="11" t="n">
        <x:f>E940/D940</x:f>
        <x:v>1</x:v>
      </x:c>
      <x:c r="K940" s="11" t="n">
        <x:f>F940/D940</x:f>
        <x:v>0</x:v>
      </x:c>
      <x:c r="L940" s="13" t="n">
        <x:f>I940/D940</x:f>
        <x:v>11.127064803049555</x:v>
      </x:c>
      <x:c r="M940" s="6" t="str">
        <x:v>Included</x:v>
      </x:c>
    </x:row>
    <x:row r="941" ht="23" customHeight="1">
      <x:c r="B941" s="12" t="str">
        <x:v>8111</x:v>
      </x:c>
      <x:c r="C941" s="6" t="str">
        <x:v>Brimwood Blvd / North Scarborough Green Loop</x:v>
      </x:c>
      <x:c r="D941" s="6" t="n">
        <x:v>787</x:v>
      </x:c>
      <x:c r="E941" s="6" t="n">
        <x:v>787</x:v>
      </x:c>
      <x:c r="F941" s="6" t="n">
        <x:v>0</x:v>
      </x:c>
      <x:c r="G941" s="6" t="n">
        <x:v>11</x:v>
      </x:c>
      <x:c r="H941" s="6" t="n">
        <x:v>116</x:v>
      </x:c>
      <x:c r="I941" s="6" t="n">
        <x:v>6144</x:v>
      </x:c>
      <x:c r="J941" s="11" t="n">
        <x:f>E941/D941</x:f>
        <x:v>1</x:v>
      </x:c>
      <x:c r="K941" s="11" t="n">
        <x:f>F941/D941</x:f>
        <x:v>0</x:v>
      </x:c>
      <x:c r="L941" s="13" t="n">
        <x:f>I941/D941</x:f>
        <x:v>7.806861499364676</x:v>
      </x:c>
      <x:c r="M941" s="6" t="str">
        <x:v>Included</x:v>
      </x:c>
    </x:row>
    <x:row r="942" ht="23" customHeight="1">
      <x:c r="B942" s="12" t="str">
        <x:v>8112</x:v>
      </x:c>
      <x:c r="C942" s="6" t="str">
        <x:v>Bernadine St / Brimley Rd</x:v>
      </x:c>
      <x:c r="D942" s="6" t="n">
        <x:v>791</x:v>
      </x:c>
      <x:c r="E942" s="6" t="n">
        <x:v>791</x:v>
      </x:c>
      <x:c r="F942" s="6" t="n">
        <x:v>0</x:v>
      </x:c>
      <x:c r="G942" s="6" t="n">
        <x:v>11</x:v>
      </x:c>
      <x:c r="H942" s="6" t="n">
        <x:v>113</x:v>
      </x:c>
      <x:c r="I942" s="6" t="n">
        <x:v>7777</x:v>
      </x:c>
      <x:c r="J942" s="11" t="n">
        <x:f>E942/D942</x:f>
        <x:v>1</x:v>
      </x:c>
      <x:c r="K942" s="11" t="n">
        <x:f>F942/D942</x:f>
        <x:v>0</x:v>
      </x:c>
      <x:c r="L942" s="13" t="n">
        <x:f>I942/D942</x:f>
        <x:v>9.831858407079647</x:v>
      </x:c>
      <x:c r="M942" s="6" t="str">
        <x:v>Included</x:v>
      </x:c>
    </x:row>
    <x:row r="943" ht="23" customHeight="1">
      <x:c r="B943" s="12" t="str">
        <x:v>8113</x:v>
      </x:c>
      <x:c r="C943" s="6" t="str">
        <x:v>Leslie Lookout Park</x:v>
      </x:c>
      <x:c r="D943" s="6" t="n">
        <x:v>787</x:v>
      </x:c>
      <x:c r="E943" s="6" t="n">
        <x:v>759</x:v>
      </x:c>
      <x:c r="F943" s="6" t="n">
        <x:v>28</x:v>
      </x:c>
      <x:c r="G943" s="6" t="n">
        <x:v>11</x:v>
      </x:c>
      <x:c r="H943" s="6" t="n">
        <x:v>115</x:v>
      </x:c>
      <x:c r="I943" s="6" t="n">
        <x:v>7060</x:v>
      </x:c>
      <x:c r="J943" s="11" t="n">
        <x:f>E943/D943</x:f>
        <x:v>0.9644218551461246</x:v>
      </x:c>
      <x:c r="K943" s="11" t="n">
        <x:f>F943/D943</x:f>
        <x:v>0.035578144853875476</x:v>
      </x:c>
      <x:c r="L943" s="13" t="n">
        <x:f>I943/D943</x:f>
        <x:v>8.970775095298603</x:v>
      </x:c>
      <x:c r="M943" s="6" t="str">
        <x:v>Included</x:v>
      </x:c>
    </x:row>
    <x:row r="944" ht="23" customHeight="1">
      <x:c r="B944" s="12" t="str">
        <x:v>8114</x:v>
      </x:c>
      <x:c r="C944" s="6" t="str">
        <x:v>Dulverton Rd / Birchmount Rd</x:v>
      </x:c>
      <x:c r="D944" s="6" t="n">
        <x:v>787</x:v>
      </x:c>
      <x:c r="E944" s="6" t="n">
        <x:v>787</x:v>
      </x:c>
      <x:c r="F944" s="6" t="n">
        <x:v>0</x:v>
      </x:c>
      <x:c r="G944" s="6" t="n">
        <x:v>11</x:v>
      </x:c>
      <x:c r="H944" s="6" t="n">
        <x:v>115</x:v>
      </x:c>
      <x:c r="I944" s="6" t="n">
        <x:v>4008</x:v>
      </x:c>
      <x:c r="J944" s="11" t="n">
        <x:f>E944/D944</x:f>
        <x:v>1</x:v>
      </x:c>
      <x:c r="K944" s="11" t="n">
        <x:f>F944/D944</x:f>
        <x:v>0</x:v>
      </x:c>
      <x:c r="L944" s="13" t="n">
        <x:f>I944/D944</x:f>
        <x:v>5.092757306226176</x:v>
      </x:c>
      <x:c r="M944" s="6" t="str">
        <x:v>Included</x:v>
      </x:c>
    </x:row>
    <x:row r="945" ht="23" customHeight="1">
      <x:c r="B945" s="12" t="str">
        <x:v>8115</x:v>
      </x:c>
      <x:c r="C945" s="6" t="str">
        <x:v>Lawrence Ave E / Burnview Cres</x:v>
      </x:c>
      <x:c r="D945" s="6" t="n">
        <x:v>784</x:v>
      </x:c>
      <x:c r="E945" s="6" t="n">
        <x:v>784</x:v>
      </x:c>
      <x:c r="F945" s="6" t="n">
        <x:v>0</x:v>
      </x:c>
      <x:c r="G945" s="6" t="n">
        <x:v>11</x:v>
      </x:c>
      <x:c r="H945" s="6" t="n">
        <x:v>115</x:v>
      </x:c>
      <x:c r="I945" s="6" t="n">
        <x:v>6103</x:v>
      </x:c>
      <x:c r="J945" s="11" t="n">
        <x:f>E945/D945</x:f>
        <x:v>1</x:v>
      </x:c>
      <x:c r="K945" s="11" t="n">
        <x:f>F945/D945</x:f>
        <x:v>0</x:v>
      </x:c>
      <x:c r="L945" s="13" t="n">
        <x:f>I945/D945</x:f>
        <x:v>7.784438775510204</x:v>
      </x:c>
      <x:c r="M945" s="6" t="str">
        <x:v>Included</x:v>
      </x:c>
    </x:row>
    <x:row r="946" ht="23" customHeight="1">
      <x:c r="B946" s="12" t="str">
        <x:v>8117</x:v>
      </x:c>
      <x:c r="C946" s="6" t="str">
        <x:v>Valparaiso Ave / Lawrence Ave E</x:v>
      </x:c>
      <x:c r="D946" s="6" t="n">
        <x:v>791</x:v>
      </x:c>
      <x:c r="E946" s="6" t="n">
        <x:v>791</x:v>
      </x:c>
      <x:c r="F946" s="6" t="n">
        <x:v>0</x:v>
      </x:c>
      <x:c r="G946" s="6" t="n">
        <x:v>11</x:v>
      </x:c>
      <x:c r="H946" s="6" t="n">
        <x:v>114</x:v>
      </x:c>
      <x:c r="I946" s="6" t="n">
        <x:v>9133</x:v>
      </x:c>
      <x:c r="J946" s="11" t="n">
        <x:f>E946/D946</x:f>
        <x:v>1</x:v>
      </x:c>
      <x:c r="K946" s="11" t="n">
        <x:f>F946/D946</x:f>
        <x:v>0</x:v>
      </x:c>
      <x:c r="L946" s="13" t="n">
        <x:f>I946/D946</x:f>
        <x:v>11.54614412136536</x:v>
      </x:c>
      <x:c r="M946" s="6" t="str">
        <x:v>Included</x:v>
      </x:c>
    </x:row>
    <x:row r="947" ht="23" customHeight="1">
      <x:c r="B947" s="12" t="str">
        <x:v>8119</x:v>
      </x:c>
      <x:c r="C947" s="6" t="str">
        <x:v>Thistletown Community Centre</x:v>
      </x:c>
      <x:c r="D947" s="6" t="n">
        <x:v>789</x:v>
      </x:c>
      <x:c r="E947" s="6" t="n">
        <x:v>789</x:v>
      </x:c>
      <x:c r="F947" s="6" t="n">
        <x:v>0</x:v>
      </x:c>
      <x:c r="G947" s="6" t="n">
        <x:v>11</x:v>
      </x:c>
      <x:c r="H947" s="6" t="n">
        <x:v>114</x:v>
      </x:c>
      <x:c r="I947" s="6" t="n">
        <x:v>6553</x:v>
      </x:c>
      <x:c r="J947" s="11" t="n">
        <x:f>E947/D947</x:f>
        <x:v>1</x:v>
      </x:c>
      <x:c r="K947" s="11" t="n">
        <x:f>F947/D947</x:f>
        <x:v>0</x:v>
      </x:c>
      <x:c r="L947" s="13" t="n">
        <x:f>I947/D947</x:f>
        <x:v>8.305449936628644</x:v>
      </x:c>
      <x:c r="M947" s="6" t="str">
        <x:v>Included</x:v>
      </x:c>
    </x:row>
    <x:row r="948" ht="23" customHeight="1">
      <x:c r="B948" s="12" t="str">
        <x:v>8120</x:v>
      </x:c>
      <x:c r="C948" s="6" t="str">
        <x:v>Albion Rd / Kipling Ave (Albion Arena)</x:v>
      </x:c>
      <x:c r="D948" s="6" t="n">
        <x:v>793</x:v>
      </x:c>
      <x:c r="E948" s="6" t="n">
        <x:v>793</x:v>
      </x:c>
      <x:c r="F948" s="6" t="n">
        <x:v>0</x:v>
      </x:c>
      <x:c r="G948" s="6" t="n">
        <x:v>11</x:v>
      </x:c>
      <x:c r="H948" s="6" t="n">
        <x:v>115</x:v>
      </x:c>
      <x:c r="I948" s="6" t="n">
        <x:v>6948</x:v>
      </x:c>
      <x:c r="J948" s="11" t="n">
        <x:f>E948/D948</x:f>
        <x:v>1</x:v>
      </x:c>
      <x:c r="K948" s="11" t="n">
        <x:f>F948/D948</x:f>
        <x:v>0</x:v>
      </x:c>
      <x:c r="L948" s="13" t="n">
        <x:f>I948/D948</x:f>
        <x:v>8.761664564943253</x:v>
      </x:c>
      <x:c r="M948" s="6" t="str">
        <x:v>Included</x:v>
      </x:c>
    </x:row>
    <x:row r="949" ht="23" customHeight="1">
      <x:c r="B949" s="12" t="str">
        <x:v>8122</x:v>
      </x:c>
      <x:c r="C949" s="6" t="str">
        <x:v>Silverstone Dr / Stevenson Rd</x:v>
      </x:c>
      <x:c r="D949" s="6" t="n">
        <x:v>779</x:v>
      </x:c>
      <x:c r="E949" s="6" t="n">
        <x:v>779</x:v>
      </x:c>
      <x:c r="F949" s="6" t="n">
        <x:v>0</x:v>
      </x:c>
      <x:c r="G949" s="6" t="n">
        <x:v>11</x:v>
      </x:c>
      <x:c r="H949" s="6" t="n">
        <x:v>114</x:v>
      </x:c>
      <x:c r="I949" s="6" t="n">
        <x:v>9341</x:v>
      </x:c>
      <x:c r="J949" s="11" t="n">
        <x:f>E949/D949</x:f>
        <x:v>1</x:v>
      </x:c>
      <x:c r="K949" s="11" t="n">
        <x:f>F949/D949</x:f>
        <x:v>0</x:v>
      </x:c>
      <x:c r="L949" s="13" t="n">
        <x:f>I949/D949</x:f>
        <x:v>11.991014120667522</x:v>
      </x:c>
      <x:c r="M949" s="6" t="str">
        <x:v>Included</x:v>
      </x:c>
    </x:row>
    <x:row r="950" ht="23" customHeight="1">
      <x:c r="B950" s="12" t="str">
        <x:v>8123</x:v>
      </x:c>
      <x:c r="C950" s="6" t="str">
        <x:v>Martin Grove Rd / Lexington Ave</x:v>
      </x:c>
      <x:c r="D950" s="6" t="n">
        <x:v>794</x:v>
      </x:c>
      <x:c r="E950" s="6" t="n">
        <x:v>794</x:v>
      </x:c>
      <x:c r="F950" s="6" t="n">
        <x:v>0</x:v>
      </x:c>
      <x:c r="G950" s="6" t="n">
        <x:v>11</x:v>
      </x:c>
      <x:c r="H950" s="6" t="n">
        <x:v>114</x:v>
      </x:c>
      <x:c r="I950" s="6" t="n">
        <x:v>7288</x:v>
      </x:c>
      <x:c r="J950" s="11" t="n">
        <x:f>E950/D950</x:f>
        <x:v>1</x:v>
      </x:c>
      <x:c r="K950" s="11" t="n">
        <x:f>F950/D950</x:f>
        <x:v>0</x:v>
      </x:c>
      <x:c r="L950" s="13" t="n">
        <x:f>I950/D950</x:f>
        <x:v>9.178841309823678</x:v>
      </x:c>
      <x:c r="M950" s="6" t="str">
        <x:v>Included</x:v>
      </x:c>
    </x:row>
    <x:row r="951" ht="23" customHeight="1">
      <x:c r="B951" s="12" t="str">
        <x:v>8125</x:v>
      </x:c>
      <x:c r="C951" s="6" t="str">
        <x:v>John Garland Blvd / Jamestown Cres</x:v>
      </x:c>
      <x:c r="D951" s="6" t="n">
        <x:v>789</x:v>
      </x:c>
      <x:c r="E951" s="6" t="n">
        <x:v>789</x:v>
      </x:c>
      <x:c r="F951" s="6" t="n">
        <x:v>0</x:v>
      </x:c>
      <x:c r="G951" s="6" t="n">
        <x:v>11</x:v>
      </x:c>
      <x:c r="H951" s="6" t="n">
        <x:v>114</x:v>
      </x:c>
      <x:c r="I951" s="6" t="n">
        <x:v>8537</x:v>
      </x:c>
      <x:c r="J951" s="11" t="n">
        <x:f>E951/D951</x:f>
        <x:v>1</x:v>
      </x:c>
      <x:c r="K951" s="11" t="n">
        <x:f>F951/D951</x:f>
        <x:v>0</x:v>
      </x:c>
      <x:c r="L951" s="13" t="n">
        <x:f>I951/D951</x:f>
        <x:v>10.820025348542458</x:v>
      </x:c>
      <x:c r="M951" s="6" t="str">
        <x:v>Included</x:v>
      </x:c>
    </x:row>
    <x:row r="952" ht="23" customHeight="1">
      <x:c r="B952" s="12" t="str">
        <x:v>8128</x:v>
      </x:c>
      <x:c r="C952" s="6" t="str">
        <x:v>Queen’s Plate Dr / Rexdale Blvd</x:v>
      </x:c>
      <x:c r="D952" s="6" t="n">
        <x:v>783</x:v>
      </x:c>
      <x:c r="E952" s="6" t="n">
        <x:v>783</x:v>
      </x:c>
      <x:c r="F952" s="6" t="n">
        <x:v>0</x:v>
      </x:c>
      <x:c r="G952" s="6" t="n">
        <x:v>11</x:v>
      </x:c>
      <x:c r="H952" s="6" t="n">
        <x:v>115</x:v>
      </x:c>
      <x:c r="I952" s="6" t="n">
        <x:v>4379</x:v>
      </x:c>
      <x:c r="J952" s="11" t="n">
        <x:f>E952/D952</x:f>
        <x:v>1</x:v>
      </x:c>
      <x:c r="K952" s="11" t="n">
        <x:f>F952/D952</x:f>
        <x:v>0</x:v>
      </x:c>
      <x:c r="L952" s="13" t="n">
        <x:f>I952/D952</x:f>
        <x:v>5.592592592592593</x:v>
      </x:c>
      <x:c r="M952" s="6" t="str">
        <x:v>Included</x:v>
      </x:c>
    </x:row>
    <x:row r="953" ht="23" customHeight="1">
      <x:c r="B953" s="12" t="str">
        <x:v>8129</x:v>
      </x:c>
      <x:c r="C953" s="6" t="str">
        <x:v>Don Mills Rd / Barber Greene Rd</x:v>
      </x:c>
      <x:c r="D953" s="6" t="n">
        <x:v>788</x:v>
      </x:c>
      <x:c r="E953" s="6" t="n">
        <x:v>788</x:v>
      </x:c>
      <x:c r="F953" s="6" t="n">
        <x:v>0</x:v>
      </x:c>
      <x:c r="G953" s="6" t="n">
        <x:v>11</x:v>
      </x:c>
      <x:c r="H953" s="6" t="n">
        <x:v>113</x:v>
      </x:c>
      <x:c r="I953" s="6" t="n">
        <x:v>7837</x:v>
      </x:c>
      <x:c r="J953" s="11" t="n">
        <x:f>E953/D953</x:f>
        <x:v>1</x:v>
      </x:c>
      <x:c r="K953" s="11" t="n">
        <x:f>F953/D953</x:f>
        <x:v>0</x:v>
      </x:c>
      <x:c r="L953" s="13" t="n">
        <x:f>I953/D953</x:f>
        <x:v>9.945431472081218</x:v>
      </x:c>
      <x:c r="M953" s="6" t="str">
        <x:v>Included</x:v>
      </x:c>
    </x:row>
    <x:row r="954" ht="23" customHeight="1">
      <x:c r="B954" s="12" t="str">
        <x:v>8130</x:v>
      </x:c>
      <x:c r="C954" s="6" t="str">
        <x:v>Gateway Blvd (South) / Don Mills Rd</x:v>
      </x:c>
      <x:c r="D954" s="6" t="n">
        <x:v>783</x:v>
      </x:c>
      <x:c r="E954" s="6" t="n">
        <x:v>783</x:v>
      </x:c>
      <x:c r="F954" s="6" t="n">
        <x:v>0</x:v>
      </x:c>
      <x:c r="G954" s="6" t="n">
        <x:v>11</x:v>
      </x:c>
      <x:c r="H954" s="6" t="n">
        <x:v>115</x:v>
      </x:c>
      <x:c r="I954" s="6" t="n">
        <x:v>7718</x:v>
      </x:c>
      <x:c r="J954" s="11" t="n">
        <x:f>E954/D954</x:f>
        <x:v>1</x:v>
      </x:c>
      <x:c r="K954" s="11" t="n">
        <x:f>F954/D954</x:f>
        <x:v>0</x:v>
      </x:c>
      <x:c r="L954" s="13" t="n">
        <x:f>I954/D954</x:f>
        <x:v>9.856960408684547</x:v>
      </x:c>
      <x:c r="M954" s="6" t="str">
        <x:v>Included</x:v>
      </x:c>
    </x:row>
    <x:row r="955" ht="23" customHeight="1">
      <x:c r="B955" s="12" t="str">
        <x:v>8131</x:v>
      </x:c>
      <x:c r="C955" s="6" t="str">
        <x:v>Rochefort Dr / Don Mills Rd</x:v>
      </x:c>
      <x:c r="D955" s="6" t="n">
        <x:v>785</x:v>
      </x:c>
      <x:c r="E955" s="6" t="n">
        <x:v>785</x:v>
      </x:c>
      <x:c r="F955" s="6" t="n">
        <x:v>0</x:v>
      </x:c>
      <x:c r="G955" s="6" t="n">
        <x:v>11</x:v>
      </x:c>
      <x:c r="H955" s="6" t="n">
        <x:v>114</x:v>
      </x:c>
      <x:c r="I955" s="6" t="n">
        <x:v>8022</x:v>
      </x:c>
      <x:c r="J955" s="11" t="n">
        <x:f>E955/D955</x:f>
        <x:v>1</x:v>
      </x:c>
      <x:c r="K955" s="11" t="n">
        <x:f>F955/D955</x:f>
        <x:v>0</x:v>
      </x:c>
      <x:c r="L955" s="13" t="n">
        <x:f>I955/D955</x:f>
        <x:v>10.219108280254778</x:v>
      </x:c>
      <x:c r="M955" s="6" t="str">
        <x:v>Included</x:v>
      </x:c>
    </x:row>
    <x:row r="956" ht="23" customHeight="1">
      <x:c r="B956" s="12" t="str">
        <x:v>8133</x:v>
      </x:c>
      <x:c r="C956" s="6" t="str">
        <x:v>Aga Khan Museum and Park (Wynford Dr)</x:v>
      </x:c>
      <x:c r="D956" s="6" t="n">
        <x:v>785</x:v>
      </x:c>
      <x:c r="E956" s="6" t="n">
        <x:v>785</x:v>
      </x:c>
      <x:c r="F956" s="6" t="n">
        <x:v>0</x:v>
      </x:c>
      <x:c r="G956" s="6" t="n">
        <x:v>11</x:v>
      </x:c>
      <x:c r="H956" s="6" t="n">
        <x:v>114</x:v>
      </x:c>
      <x:c r="I956" s="6" t="n">
        <x:v>10692</x:v>
      </x:c>
      <x:c r="J956" s="11" t="n">
        <x:f>E956/D956</x:f>
        <x:v>1</x:v>
      </x:c>
      <x:c r="K956" s="11" t="n">
        <x:f>F956/D956</x:f>
        <x:v>0</x:v>
      </x:c>
      <x:c r="L956" s="13" t="n">
        <x:f>I956/D956</x:f>
        <x:v>13.620382165605095</x:v>
      </x:c>
      <x:c r="M956" s="6" t="str">
        <x:v>Included</x:v>
      </x:c>
    </x:row>
    <x:row r="957" ht="23" customHeight="1">
      <x:c r="B957" s="12" t="str">
        <x:v>8134</x:v>
      </x:c>
      <x:c r="C957" s="6" t="str">
        <x:v>Eglinton Ave E / Sloane Ave</x:v>
      </x:c>
      <x:c r="D957" s="6" t="n">
        <x:v>787</x:v>
      </x:c>
      <x:c r="E957" s="6" t="n">
        <x:v>787</x:v>
      </x:c>
      <x:c r="F957" s="6" t="n">
        <x:v>0</x:v>
      </x:c>
      <x:c r="G957" s="6" t="n">
        <x:v>11</x:v>
      </x:c>
      <x:c r="H957" s="6" t="n">
        <x:v>115</x:v>
      </x:c>
      <x:c r="I957" s="6" t="n">
        <x:v>7543</x:v>
      </x:c>
      <x:c r="J957" s="11" t="n">
        <x:f>E957/D957</x:f>
        <x:v>1</x:v>
      </x:c>
      <x:c r="K957" s="11" t="n">
        <x:f>F957/D957</x:f>
        <x:v>0</x:v>
      </x:c>
      <x:c r="L957" s="13" t="n">
        <x:f>I957/D957</x:f>
        <x:v>9.584498094027953</x:v>
      </x:c>
      <x:c r="M957" s="6" t="str">
        <x:v>Included</x:v>
      </x:c>
    </x:row>
    <x:row r="958" ht="23" customHeight="1">
      <x:c r="B958" s="12" t="str">
        <x:v>8137</x:v>
      </x:c>
      <x:c r="C958" s="6" t="str">
        <x:v>95 Beecroft Rd</x:v>
      </x:c>
      <x:c r="D958" s="6" t="n">
        <x:v>789</x:v>
      </x:c>
      <x:c r="E958" s="6" t="n">
        <x:v>789</x:v>
      </x:c>
      <x:c r="F958" s="6" t="n">
        <x:v>0</x:v>
      </x:c>
      <x:c r="G958" s="6" t="n">
        <x:v>11</x:v>
      </x:c>
      <x:c r="H958" s="6" t="n">
        <x:v>114</x:v>
      </x:c>
      <x:c r="I958" s="6" t="n">
        <x:v>7954</x:v>
      </x:c>
      <x:c r="J958" s="11" t="n">
        <x:f>E958/D958</x:f>
        <x:v>1</x:v>
      </x:c>
      <x:c r="K958" s="11" t="n">
        <x:f>F958/D958</x:f>
        <x:v>0</x:v>
      </x:c>
      <x:c r="L958" s="13" t="n">
        <x:f>I958/D958</x:f>
        <x:v>10.081115335868187</x:v>
      </x:c>
      <x:c r="M958" s="6" t="str">
        <x:v>Included</x:v>
      </x:c>
    </x:row>
    <x:row r="959" ht="23" customHeight="1">
      <x:c r="B959" s="12" t="str">
        <x:v>8138</x:v>
      </x:c>
      <x:c r="C959" s="6" t="str">
        <x:v>Scarborough Town Centre</x:v>
      </x:c>
      <x:c r="D959" s="6" t="n">
        <x:v>785</x:v>
      </x:c>
      <x:c r="E959" s="6" t="n">
        <x:v>785</x:v>
      </x:c>
      <x:c r="F959" s="6" t="n">
        <x:v>0</x:v>
      </x:c>
      <x:c r="G959" s="6" t="n">
        <x:v>11</x:v>
      </x:c>
      <x:c r="H959" s="6" t="n">
        <x:v>116</x:v>
      </x:c>
      <x:c r="I959" s="6" t="n">
        <x:v>9181</x:v>
      </x:c>
      <x:c r="J959" s="11" t="n">
        <x:f>E959/D959</x:f>
        <x:v>1</x:v>
      </x:c>
      <x:c r="K959" s="11" t="n">
        <x:f>F959/D959</x:f>
        <x:v>0</x:v>
      </x:c>
      <x:c r="L959" s="13" t="n">
        <x:f>I959/D959</x:f>
        <x:v>11.695541401273886</x:v>
      </x:c>
      <x:c r="M959" s="6" t="str">
        <x:v>Included</x:v>
      </x:c>
    </x:row>
    <x:row r="960" ht="23" customHeight="1">
      <x:c r="B960" s="12" t="str">
        <x:v>8139</x:v>
      </x:c>
      <x:c r="C960" s="6" t="str">
        <x:v>Knob Hill Park</x:v>
      </x:c>
      <x:c r="D960" s="6" t="n">
        <x:v>784</x:v>
      </x:c>
      <x:c r="E960" s="6" t="n">
        <x:v>784</x:v>
      </x:c>
      <x:c r="F960" s="6" t="n">
        <x:v>0</x:v>
      </x:c>
      <x:c r="G960" s="6" t="n">
        <x:v>11</x:v>
      </x:c>
      <x:c r="H960" s="6" t="n">
        <x:v>114</x:v>
      </x:c>
      <x:c r="I960" s="6" t="n">
        <x:v>7265</x:v>
      </x:c>
      <x:c r="J960" s="11" t="n">
        <x:f>E960/D960</x:f>
        <x:v>1</x:v>
      </x:c>
      <x:c r="K960" s="11" t="n">
        <x:f>F960/D960</x:f>
        <x:v>0</x:v>
      </x:c>
      <x:c r="L960" s="13" t="n">
        <x:f>I960/D960</x:f>
        <x:v>9.266581632653061</x:v>
      </x:c>
      <x:c r="M960" s="6" t="str">
        <x:v>Included</x:v>
      </x:c>
    </x:row>
    <x:row r="961" ht="23" customHeight="1">
      <x:c r="B961" s="12" t="str">
        <x:v>8141</x:v>
      </x:c>
      <x:c r="C961" s="6" t="str">
        <x:v>Brimley Rd / Brimorton Dr</x:v>
      </x:c>
      <x:c r="D961" s="6" t="n">
        <x:v>783</x:v>
      </x:c>
      <x:c r="E961" s="6" t="n">
        <x:v>783</x:v>
      </x:c>
      <x:c r="F961" s="6" t="n">
        <x:v>0</x:v>
      </x:c>
      <x:c r="G961" s="6" t="n">
        <x:v>11</x:v>
      </x:c>
      <x:c r="H961" s="6" t="n">
        <x:v>114</x:v>
      </x:c>
      <x:c r="I961" s="6" t="n">
        <x:v>8111</x:v>
      </x:c>
      <x:c r="J961" s="11" t="n">
        <x:f>E961/D961</x:f>
        <x:v>1</x:v>
      </x:c>
      <x:c r="K961" s="11" t="n">
        <x:f>F961/D961</x:f>
        <x:v>0</x:v>
      </x:c>
      <x:c r="L961" s="13" t="n">
        <x:f>I961/D961</x:f>
        <x:v>10.358876117496807</x:v>
      </x:c>
      <x:c r="M961" s="6" t="str">
        <x:v>Included</x:v>
      </x:c>
    </x:row>
    <x:row r="962" ht="23" customHeight="1">
      <x:c r="B962" s="12" t="str">
        <x:v>8142</x:v>
      </x:c>
      <x:c r="C962" s="6" t="str">
        <x:v>Kitchener Rd / Kingston Rd</x:v>
      </x:c>
      <x:c r="D962" s="6" t="n">
        <x:v>783</x:v>
      </x:c>
      <x:c r="E962" s="6" t="n">
        <x:v>783</x:v>
      </x:c>
      <x:c r="F962" s="6" t="n">
        <x:v>0</x:v>
      </x:c>
      <x:c r="G962" s="6" t="n">
        <x:v>11</x:v>
      </x:c>
      <x:c r="H962" s="6" t="n">
        <x:v>114</x:v>
      </x:c>
      <x:c r="I962" s="6" t="n">
        <x:v>7987</x:v>
      </x:c>
      <x:c r="J962" s="11" t="n">
        <x:f>E962/D962</x:f>
        <x:v>1</x:v>
      </x:c>
      <x:c r="K962" s="11" t="n">
        <x:f>F962/D962</x:f>
        <x:v>0</x:v>
      </x:c>
      <x:c r="L962" s="13" t="n">
        <x:f>I962/D962</x:f>
        <x:v>10.20051085568327</x:v>
      </x:c>
      <x:c r="M962" s="6" t="str">
        <x:v>Included</x:v>
      </x:c>
    </x:row>
    <x:row r="963" ht="23" customHeight="1">
      <x:c r="B963" s="12" t="str">
        <x:v>8144</x:v>
      </x:c>
      <x:c r="C963" s="6" t="str">
        <x:v>James Gardens</x:v>
      </x:c>
      <x:c r="D963" s="6" t="n">
        <x:v>787</x:v>
      </x:c>
      <x:c r="E963" s="6" t="n">
        <x:v>787</x:v>
      </x:c>
      <x:c r="F963" s="6" t="n">
        <x:v>0</x:v>
      </x:c>
      <x:c r="G963" s="6" t="n">
        <x:v>11</x:v>
      </x:c>
      <x:c r="H963" s="6" t="n">
        <x:v>114</x:v>
      </x:c>
      <x:c r="I963" s="6" t="n">
        <x:v>5638</x:v>
      </x:c>
      <x:c r="J963" s="11" t="n">
        <x:f>E963/D963</x:f>
        <x:v>1</x:v>
      </x:c>
      <x:c r="K963" s="11" t="n">
        <x:f>F963/D963</x:f>
        <x:v>0</x:v>
      </x:c>
      <x:c r="L963" s="13" t="n">
        <x:f>I963/D963</x:f>
        <x:v>7.163913595933926</x:v>
      </x:c>
      <x:c r="M963" s="6" t="str">
        <x:v>Included</x:v>
      </x:c>
    </x:row>
    <x:row r="964" ht="23" customHeight="1">
      <x:c r="B964" s="12" t="str">
        <x:v>8149</x:v>
      </x:c>
      <x:c r="C964" s="6" t="str">
        <x:v>Danforth Rd / St Clair Ave E</x:v>
      </x:c>
      <x:c r="D964" s="6" t="n">
        <x:v>787</x:v>
      </x:c>
      <x:c r="E964" s="6" t="n">
        <x:v>787</x:v>
      </x:c>
      <x:c r="F964" s="6" t="n">
        <x:v>0</x:v>
      </x:c>
      <x:c r="G964" s="6" t="n">
        <x:v>11</x:v>
      </x:c>
      <x:c r="H964" s="6" t="n">
        <x:v>114</x:v>
      </x:c>
      <x:c r="I964" s="6" t="n">
        <x:v>7513</x:v>
      </x:c>
      <x:c r="J964" s="11" t="n">
        <x:f>E964/D964</x:f>
        <x:v>1</x:v>
      </x:c>
      <x:c r="K964" s="11" t="n">
        <x:f>F964/D964</x:f>
        <x:v>0</x:v>
      </x:c>
      <x:c r="L964" s="13" t="n">
        <x:f>I964/D964</x:f>
        <x:v>9.546378653113088</x:v>
      </x:c>
      <x:c r="M964" s="6" t="str">
        <x:v>Included</x:v>
      </x:c>
    </x:row>
    <x:row r="965" ht="23" customHeight="1">
      <x:c r="B965" s="12" t="str">
        <x:v>8150</x:v>
      </x:c>
      <x:c r="C965" s="6" t="str">
        <x:v>Birchmount Rd / Eglinton Ave E</x:v>
      </x:c>
      <x:c r="D965" s="6" t="n">
        <x:v>790</x:v>
      </x:c>
      <x:c r="E965" s="6" t="n">
        <x:v>790</x:v>
      </x:c>
      <x:c r="F965" s="6" t="n">
        <x:v>0</x:v>
      </x:c>
      <x:c r="G965" s="6" t="n">
        <x:v>11</x:v>
      </x:c>
      <x:c r="H965" s="6" t="n">
        <x:v>114</x:v>
      </x:c>
      <x:c r="I965" s="6" t="n">
        <x:v>7861</x:v>
      </x:c>
      <x:c r="J965" s="11" t="n">
        <x:f>E965/D965</x:f>
        <x:v>1</x:v>
      </x:c>
      <x:c r="K965" s="11" t="n">
        <x:f>F965/D965</x:f>
        <x:v>0</x:v>
      </x:c>
      <x:c r="L965" s="13" t="n">
        <x:f>I965/D965</x:f>
        <x:v>9.950632911392406</x:v>
      </x:c>
      <x:c r="M965" s="6" t="str">
        <x:v>Included</x:v>
      </x:c>
    </x:row>
    <x:row r="966" ht="23" customHeight="1">
      <x:c r="B966" s="12" t="str">
        <x:v>8151</x:v>
      </x:c>
      <x:c r="C966" s="6" t="str">
        <x:v>Corvette Ave / Kennedy Rd</x:v>
      </x:c>
      <x:c r="D966" s="6" t="n">
        <x:v>789</x:v>
      </x:c>
      <x:c r="E966" s="6" t="n">
        <x:v>789</x:v>
      </x:c>
      <x:c r="F966" s="6" t="n">
        <x:v>0</x:v>
      </x:c>
      <x:c r="G966" s="6" t="n">
        <x:v>11</x:v>
      </x:c>
      <x:c r="H966" s="6" t="n">
        <x:v>116</x:v>
      </x:c>
      <x:c r="I966" s="6" t="n">
        <x:v>8296</x:v>
      </x:c>
      <x:c r="J966" s="11" t="n">
        <x:f>E966/D966</x:f>
        <x:v>1</x:v>
      </x:c>
      <x:c r="K966" s="11" t="n">
        <x:f>F966/D966</x:f>
        <x:v>0</x:v>
      </x:c>
      <x:c r="L966" s="13" t="n">
        <x:f>I966/D966</x:f>
        <x:v>10.514575411913816</x:v>
      </x:c>
      <x:c r="M966" s="6" t="str">
        <x:v>Included</x:v>
      </x:c>
    </x:row>
    <x:row r="967" ht="23" customHeight="1">
      <x:c r="B967" s="12" t="str">
        <x:v>8152</x:v>
      </x:c>
      <x:c r="C967" s="6" t="str">
        <x:v>Surrey Pl / Dr. Emily Stowe Way - SMART</x:v>
      </x:c>
      <x:c r="D967" s="6" t="n">
        <x:v>785</x:v>
      </x:c>
      <x:c r="E967" s="6" t="n">
        <x:v>775</x:v>
      </x:c>
      <x:c r="F967" s="6" t="n">
        <x:v>10</x:v>
      </x:c>
      <x:c r="G967" s="6" t="n">
        <x:v>11</x:v>
      </x:c>
      <x:c r="H967" s="6" t="n">
        <x:v>114</x:v>
      </x:c>
      <x:c r="I967" s="6" t="n">
        <x:v>9057</x:v>
      </x:c>
      <x:c r="J967" s="11" t="n">
        <x:f>E967/D967</x:f>
        <x:v>0.9872611464968153</x:v>
      </x:c>
      <x:c r="K967" s="11" t="n">
        <x:f>F967/D967</x:f>
        <x:v>0.012738853503184714</x:v>
      </x:c>
      <x:c r="L967" s="13" t="n">
        <x:f>I967/D967</x:f>
        <x:v>11.537579617834394</x:v>
      </x:c>
      <x:c r="M967" s="6" t="str">
        <x:v>Included</x:v>
      </x:c>
    </x:row>
    <x:row r="968" ht="23" customHeight="1">
      <x:c r="B968" s="12" t="str">
        <x:v>8153</x:v>
      </x:c>
      <x:c r="C968" s="6" t="str">
        <x:v>Neilson Rd / Ellesmere Rd</x:v>
      </x:c>
      <x:c r="D968" s="6" t="n">
        <x:v>788</x:v>
      </x:c>
      <x:c r="E968" s="6" t="n">
        <x:v>788</x:v>
      </x:c>
      <x:c r="F968" s="6" t="n">
        <x:v>0</x:v>
      </x:c>
      <x:c r="G968" s="6" t="n">
        <x:v>11</x:v>
      </x:c>
      <x:c r="H968" s="6" t="n">
        <x:v>114</x:v>
      </x:c>
      <x:c r="I968" s="6" t="n">
        <x:v>11136</x:v>
      </x:c>
      <x:c r="J968" s="11" t="n">
        <x:f>E968/D968</x:f>
        <x:v>1</x:v>
      </x:c>
      <x:c r="K968" s="11" t="n">
        <x:f>F968/D968</x:f>
        <x:v>0</x:v>
      </x:c>
      <x:c r="L968" s="13" t="n">
        <x:f>I968/D968</x:f>
        <x:v>14.131979695431472</x:v>
      </x:c>
      <x:c r="M968" s="6" t="str">
        <x:v>Included</x:v>
      </x:c>
    </x:row>
    <x:row r="969" ht="23" customHeight="1">
      <x:c r="B969" s="12" t="str">
        <x:v>8154</x:v>
      </x:c>
      <x:c r="C969" s="6" t="str">
        <x:v>Mornelle Ct / Ellesmere Rd</x:v>
      </x:c>
      <x:c r="D969" s="6" t="n">
        <x:v>790</x:v>
      </x:c>
      <x:c r="E969" s="6" t="n">
        <x:v>790</x:v>
      </x:c>
      <x:c r="F969" s="6" t="n">
        <x:v>0</x:v>
      </x:c>
      <x:c r="G969" s="6" t="n">
        <x:v>11</x:v>
      </x:c>
      <x:c r="H969" s="6" t="n">
        <x:v>113</x:v>
      </x:c>
      <x:c r="I969" s="6" t="n">
        <x:v>2709</x:v>
      </x:c>
      <x:c r="J969" s="11" t="n">
        <x:f>E969/D969</x:f>
        <x:v>1</x:v>
      </x:c>
      <x:c r="K969" s="11" t="n">
        <x:f>F969/D969</x:f>
        <x:v>0</x:v>
      </x:c>
      <x:c r="L969" s="13" t="n">
        <x:f>I969/D969</x:f>
        <x:v>3.429113924050633</x:v>
      </x:c>
      <x:c r="M969" s="6" t="str">
        <x:v>Included</x:v>
      </x:c>
    </x:row>
    <x:row r="970" ht="23" customHeight="1">
      <x:c r="B970" s="12" t="str">
        <x:v>8155</x:v>
      </x:c>
      <x:c r="C970" s="6" t="str">
        <x:v>Ellesmere Rd / Scarborough Golf Club Rd</x:v>
      </x:c>
      <x:c r="D970" s="6" t="n">
        <x:v>791</x:v>
      </x:c>
      <x:c r="E970" s="6" t="n">
        <x:v>791</x:v>
      </x:c>
      <x:c r="F970" s="6" t="n">
        <x:v>0</x:v>
      </x:c>
      <x:c r="G970" s="6" t="n">
        <x:v>11</x:v>
      </x:c>
      <x:c r="H970" s="6" t="n">
        <x:v>116</x:v>
      </x:c>
      <x:c r="I970" s="6" t="n">
        <x:v>11389</x:v>
      </x:c>
      <x:c r="J970" s="11" t="n">
        <x:f>E970/D970</x:f>
        <x:v>1</x:v>
      </x:c>
      <x:c r="K970" s="11" t="n">
        <x:f>F970/D970</x:f>
        <x:v>0</x:v>
      </x:c>
      <x:c r="L970" s="13" t="n">
        <x:f>I970/D970</x:f>
        <x:v>14.398230088495575</x:v>
      </x:c>
      <x:c r="M970" s="6" t="str">
        <x:v>Included</x:v>
      </x:c>
    </x:row>
    <x:row r="971" ht="23" customHeight="1">
      <x:c r="B971" s="12" t="str">
        <x:v>8156</x:v>
      </x:c>
      <x:c r="C971" s="6" t="str">
        <x:v>Scarborough Golf Club Rd / Lawrence Ave E</x:v>
      </x:c>
      <x:c r="D971" s="6" t="n">
        <x:v>786</x:v>
      </x:c>
      <x:c r="E971" s="6" t="n">
        <x:v>786</x:v>
      </x:c>
      <x:c r="F971" s="6" t="n">
        <x:v>0</x:v>
      </x:c>
      <x:c r="G971" s="6" t="n">
        <x:v>11</x:v>
      </x:c>
      <x:c r="H971" s="6" t="n">
        <x:v>115</x:v>
      </x:c>
      <x:c r="I971" s="6" t="n">
        <x:v>8041</x:v>
      </x:c>
      <x:c r="J971" s="11" t="n">
        <x:f>E971/D971</x:f>
        <x:v>1</x:v>
      </x:c>
      <x:c r="K971" s="11" t="n">
        <x:f>F971/D971</x:f>
        <x:v>0</x:v>
      </x:c>
      <x:c r="L971" s="13" t="n">
        <x:f>I971/D971</x:f>
        <x:v>10.23027989821883</x:v>
      </x:c>
      <x:c r="M971" s="6" t="str">
        <x:v>Included</x:v>
      </x:c>
    </x:row>
    <x:row r="972" ht="23" customHeight="1">
      <x:c r="B972" s="12" t="str">
        <x:v>8157</x:v>
      </x:c>
      <x:c r="C972" s="6" t="str">
        <x:v>Confederation Dr / Greencrest Cr</x:v>
      </x:c>
      <x:c r="D972" s="6" t="n">
        <x:v>791</x:v>
      </x:c>
      <x:c r="E972" s="6" t="n">
        <x:v>791</x:v>
      </x:c>
      <x:c r="F972" s="6" t="n">
        <x:v>0</x:v>
      </x:c>
      <x:c r="G972" s="6" t="n">
        <x:v>11</x:v>
      </x:c>
      <x:c r="H972" s="6" t="n">
        <x:v>115</x:v>
      </x:c>
      <x:c r="I972" s="6" t="n">
        <x:v>11629</x:v>
      </x:c>
      <x:c r="J972" s="11" t="n">
        <x:f>E972/D972</x:f>
        <x:v>1</x:v>
      </x:c>
      <x:c r="K972" s="11" t="n">
        <x:f>F972/D972</x:f>
        <x:v>0</x:v>
      </x:c>
      <x:c r="L972" s="13" t="n">
        <x:f>I972/D972</x:f>
        <x:v>14.701643489254108</x:v>
      </x:c>
      <x:c r="M972" s="6" t="str">
        <x:v>Included</x:v>
      </x:c>
    </x:row>
    <x:row r="973" ht="23" customHeight="1">
      <x:c r="B973" s="12" t="str">
        <x:v>8158</x:v>
      </x:c>
      <x:c r="C973" s="6" t="str">
        <x:v>Livonia Pl / Neilson Rd</x:v>
      </x:c>
      <x:c r="D973" s="6" t="n">
        <x:v>786</x:v>
      </x:c>
      <x:c r="E973" s="6" t="n">
        <x:v>786</x:v>
      </x:c>
      <x:c r="F973" s="6" t="n">
        <x:v>0</x:v>
      </x:c>
      <x:c r="G973" s="6" t="n">
        <x:v>11</x:v>
      </x:c>
      <x:c r="H973" s="6" t="n">
        <x:v>115</x:v>
      </x:c>
      <x:c r="I973" s="6" t="n">
        <x:v>5786</x:v>
      </x:c>
      <x:c r="J973" s="11" t="n">
        <x:f>E973/D973</x:f>
        <x:v>1</x:v>
      </x:c>
      <x:c r="K973" s="11" t="n">
        <x:f>F973/D973</x:f>
        <x:v>0</x:v>
      </x:c>
      <x:c r="L973" s="13" t="n">
        <x:f>I973/D973</x:f>
        <x:v>7.361323155216285</x:v>
      </x:c>
      <x:c r="M973" s="6" t="str">
        <x:v>Included</x:v>
      </x:c>
    </x:row>
    <x:row r="974" ht="23" customHeight="1">
      <x:c r="B974" s="12" t="str">
        <x:v>8159</x:v>
      </x:c>
      <x:c r="C974" s="6" t="str">
        <x:v>Lawrence Ave E / Orton Park Rd</x:v>
      </x:c>
      <x:c r="D974" s="6" t="n">
        <x:v>791</x:v>
      </x:c>
      <x:c r="E974" s="6" t="n">
        <x:v>791</x:v>
      </x:c>
      <x:c r="F974" s="6" t="n">
        <x:v>0</x:v>
      </x:c>
      <x:c r="G974" s="6" t="n">
        <x:v>11</x:v>
      </x:c>
      <x:c r="H974" s="6" t="n">
        <x:v>115</x:v>
      </x:c>
      <x:c r="I974" s="6" t="n">
        <x:v>8969</x:v>
      </x:c>
      <x:c r="J974" s="11" t="n">
        <x:f>E974/D974</x:f>
        <x:v>1</x:v>
      </x:c>
      <x:c r="K974" s="11" t="n">
        <x:f>F974/D974</x:f>
        <x:v>0</x:v>
      </x:c>
      <x:c r="L974" s="13" t="n">
        <x:f>I974/D974</x:f>
        <x:v>11.33881163084703</x:v>
      </x:c>
      <x:c r="M974" s="6" t="str">
        <x:v>Included</x:v>
      </x:c>
    </x:row>
    <x:row r="975" ht="23" customHeight="1">
      <x:c r="B975" s="12" t="str">
        <x:v>8160</x:v>
      </x:c>
      <x:c r="C975" s="6" t="str">
        <x:v>Lawrence Ave E / Mossbank Dr</x:v>
      </x:c>
      <x:c r="D975" s="6" t="n">
        <x:v>784</x:v>
      </x:c>
      <x:c r="E975" s="6" t="n">
        <x:v>784</x:v>
      </x:c>
      <x:c r="F975" s="6" t="n">
        <x:v>0</x:v>
      </x:c>
      <x:c r="G975" s="6" t="n">
        <x:v>11</x:v>
      </x:c>
      <x:c r="H975" s="6" t="n">
        <x:v>114</x:v>
      </x:c>
      <x:c r="I975" s="6" t="n">
        <x:v>10684</x:v>
      </x:c>
      <x:c r="J975" s="11" t="n">
        <x:f>E975/D975</x:f>
        <x:v>1</x:v>
      </x:c>
      <x:c r="K975" s="11" t="n">
        <x:f>F975/D975</x:f>
        <x:v>0</x:v>
      </x:c>
      <x:c r="L975" s="13" t="n">
        <x:f>I975/D975</x:f>
        <x:v>13.627551020408163</x:v>
      </x:c>
      <x:c r="M975" s="6" t="str">
        <x:v>Included</x:v>
      </x:c>
    </x:row>
    <x:row r="976" ht="23" customHeight="1">
      <x:c r="B976" s="12" t="str">
        <x:v>8161</x:v>
      </x:c>
      <x:c r="C976" s="6" t="str">
        <x:v>Victoria Park Ave / The Meadoway</x:v>
      </x:c>
      <x:c r="D976" s="6" t="n">
        <x:v>789</x:v>
      </x:c>
      <x:c r="E976" s="6" t="n">
        <x:v>789</x:v>
      </x:c>
      <x:c r="F976" s="6" t="n">
        <x:v>0</x:v>
      </x:c>
      <x:c r="G976" s="6" t="n">
        <x:v>11</x:v>
      </x:c>
      <x:c r="H976" s="6" t="n">
        <x:v>114</x:v>
      </x:c>
      <x:c r="I976" s="6" t="n">
        <x:v>10909</x:v>
      </x:c>
      <x:c r="J976" s="11" t="n">
        <x:f>E976/D976</x:f>
        <x:v>1</x:v>
      </x:c>
      <x:c r="K976" s="11" t="n">
        <x:f>F976/D976</x:f>
        <x:v>0</x:v>
      </x:c>
      <x:c r="L976" s="13" t="n">
        <x:f>I976/D976</x:f>
        <x:v>13.82636248415716</x:v>
      </x:c>
      <x:c r="M976" s="6" t="str">
        <x:v>Included</x:v>
      </x:c>
    </x:row>
    <x:row r="977" ht="23" customHeight="1">
      <x:c r="B977" s="12" t="str">
        <x:v>8162</x:v>
      </x:c>
      <x:c r="C977" s="6" t="str">
        <x:v>Dan Leckie Way / Fort York Blvd</x:v>
      </x:c>
      <x:c r="D977" s="6" t="n">
        <x:v>789</x:v>
      </x:c>
      <x:c r="E977" s="6" t="n">
        <x:v>674</x:v>
      </x:c>
      <x:c r="F977" s="6" t="n">
        <x:v>115</x:v>
      </x:c>
      <x:c r="G977" s="6" t="n">
        <x:v>11</x:v>
      </x:c>
      <x:c r="H977" s="6" t="n">
        <x:v>114</x:v>
      </x:c>
      <x:c r="I977" s="6" t="n">
        <x:v>10100</x:v>
      </x:c>
      <x:c r="J977" s="11" t="n">
        <x:f>E977/D977</x:f>
        <x:v>0.8542458808618505</x:v>
      </x:c>
      <x:c r="K977" s="11" t="n">
        <x:f>F977/D977</x:f>
        <x:v>0.14575411913814956</x:v>
      </x:c>
      <x:c r="L977" s="13" t="n">
        <x:f>I977/D977</x:f>
        <x:v>12.801013941698352</x:v>
      </x:c>
      <x:c r="M977" s="6" t="str">
        <x:v>Included</x:v>
      </x:c>
    </x:row>
    <x:row r="978" ht="23" customHeight="1">
      <x:c r="B978" s="12" t="str">
        <x:v>8163</x:v>
      </x:c>
      <x:c r="C978" s="6" t="str">
        <x:v>Strachan Ave / Ordnance St</x:v>
      </x:c>
      <x:c r="D978" s="6" t="n">
        <x:v>793</x:v>
      </x:c>
      <x:c r="E978" s="6" t="n">
        <x:v>641</x:v>
      </x:c>
      <x:c r="F978" s="6" t="n">
        <x:v>152</x:v>
      </x:c>
      <x:c r="G978" s="6" t="n">
        <x:v>11</x:v>
      </x:c>
      <x:c r="H978" s="6" t="n">
        <x:v>115</x:v>
      </x:c>
      <x:c r="I978" s="6" t="n">
        <x:v>8387</x:v>
      </x:c>
      <x:c r="J978" s="11" t="n">
        <x:f>E978/D978</x:f>
        <x:v>0.8083228247162674</x:v>
      </x:c>
      <x:c r="K978" s="11" t="n">
        <x:f>F978/D978</x:f>
        <x:v>0.19167717528373265</x:v>
      </x:c>
      <x:c r="L978" s="13" t="n">
        <x:f>I978/D978</x:f>
        <x:v>10.576292559899118</x:v>
      </x:c>
      <x:c r="M978" s="6" t="str">
        <x:v>Included</x:v>
      </x:c>
    </x:row>
    <x:row r="979" ht="23" customHeight="1">
      <x:c r="B979" s="12" t="str">
        <x:v>8164</x:v>
      </x:c>
      <x:c r="C979" s="6" t="str">
        <x:v>Keelegate Dr / Keele St</x:v>
      </x:c>
      <x:c r="D979" s="6" t="n">
        <x:v>791</x:v>
      </x:c>
      <x:c r="E979" s="6" t="n">
        <x:v>791</x:v>
      </x:c>
      <x:c r="F979" s="6" t="n">
        <x:v>0</x:v>
      </x:c>
      <x:c r="G979" s="6" t="n">
        <x:v>11</x:v>
      </x:c>
      <x:c r="H979" s="6" t="n">
        <x:v>114</x:v>
      </x:c>
      <x:c r="I979" s="6" t="n">
        <x:v>12918</x:v>
      </x:c>
      <x:c r="J979" s="11" t="n">
        <x:f>E979/D979</x:f>
        <x:v>1</x:v>
      </x:c>
      <x:c r="K979" s="11" t="n">
        <x:f>F979/D979</x:f>
        <x:v>0</x:v>
      </x:c>
      <x:c r="L979" s="13" t="n">
        <x:f>I979/D979</x:f>
        <x:v>16.331226295828067</x:v>
      </x:c>
      <x:c r="M979" s="6" t="str">
        <x:v>Included</x:v>
      </x:c>
    </x:row>
    <x:row r="980" ht="23" customHeight="1">
      <x:c r="B980" s="12" t="str">
        <x:v>8165</x:v>
      </x:c>
      <x:c r="C980" s="6" t="str">
        <x:v>Ranee Ave / Flemington Rd (North)</x:v>
      </x:c>
      <x:c r="D980" s="6" t="n">
        <x:v>791</x:v>
      </x:c>
      <x:c r="E980" s="6" t="n">
        <x:v>791</x:v>
      </x:c>
      <x:c r="F980" s="6" t="n">
        <x:v>0</x:v>
      </x:c>
      <x:c r="G980" s="6" t="n">
        <x:v>11</x:v>
      </x:c>
      <x:c r="H980" s="6" t="n">
        <x:v>114</x:v>
      </x:c>
      <x:c r="I980" s="6" t="n">
        <x:v>7715</x:v>
      </x:c>
      <x:c r="J980" s="11" t="n">
        <x:f>E980/D980</x:f>
        <x:v>1</x:v>
      </x:c>
      <x:c r="K980" s="11" t="n">
        <x:f>F980/D980</x:f>
        <x:v>0</x:v>
      </x:c>
      <x:c r="L980" s="13" t="n">
        <x:f>I980/D980</x:f>
        <x:v>9.753476611883691</x:v>
      </x:c>
      <x:c r="M980" s="6" t="str">
        <x:v>Included</x:v>
      </x:c>
    </x:row>
    <x:row r="981" ht="23" customHeight="1">
      <x:c r="B981" s="12" t="str">
        <x:v>8166</x:v>
      </x:c>
      <x:c r="C981" s="6" t="str">
        <x:v>Lawrence East Station</x:v>
      </x:c>
      <x:c r="D981" s="6" t="n">
        <x:v>781</x:v>
      </x:c>
      <x:c r="E981" s="6" t="n">
        <x:v>781</x:v>
      </x:c>
      <x:c r="F981" s="6" t="n">
        <x:v>0</x:v>
      </x:c>
      <x:c r="G981" s="6" t="n">
        <x:v>11</x:v>
      </x:c>
      <x:c r="H981" s="6" t="n">
        <x:v>114</x:v>
      </x:c>
      <x:c r="I981" s="6" t="n">
        <x:v>8047</x:v>
      </x:c>
      <x:c r="J981" s="11" t="n">
        <x:f>E981/D981</x:f>
        <x:v>1</x:v>
      </x:c>
      <x:c r="K981" s="11" t="n">
        <x:f>F981/D981</x:f>
        <x:v>0</x:v>
      </x:c>
      <x:c r="L981" s="13" t="n">
        <x:f>I981/D981</x:f>
        <x:v>10.303457106274008</x:v>
      </x:c>
      <x:c r="M981" s="6" t="str">
        <x:v>Included</x:v>
      </x:c>
    </x:row>
    <x:row r="982" ht="23" customHeight="1">
      <x:c r="B982" s="12" t="str">
        <x:v>8167</x:v>
      </x:c>
      <x:c r="C982" s="6" t="str">
        <x:v>Woburn Ave / Avenue Rd</x:v>
      </x:c>
      <x:c r="D982" s="6" t="n">
        <x:v>787</x:v>
      </x:c>
      <x:c r="E982" s="6" t="n">
        <x:v>787</x:v>
      </x:c>
      <x:c r="F982" s="6" t="n">
        <x:v>0</x:v>
      </x:c>
      <x:c r="G982" s="6" t="n">
        <x:v>11</x:v>
      </x:c>
      <x:c r="H982" s="6" t="n">
        <x:v>114</x:v>
      </x:c>
      <x:c r="I982" s="6" t="n">
        <x:v>9604</x:v>
      </x:c>
      <x:c r="J982" s="11" t="n">
        <x:f>E982/D982</x:f>
        <x:v>1</x:v>
      </x:c>
      <x:c r="K982" s="11" t="n">
        <x:f>F982/D982</x:f>
        <x:v>0</x:v>
      </x:c>
      <x:c r="L982" s="13" t="n">
        <x:f>I982/D982</x:f>
        <x:v>12.20330368487929</x:v>
      </x:c>
      <x:c r="M982" s="6" t="str">
        <x:v>Included</x:v>
      </x:c>
    </x:row>
    <x:row r="983" ht="23" customHeight="1">
      <x:c r="B983" s="12" t="str">
        <x:v>8168</x:v>
      </x:c>
      <x:c r="C983" s="6" t="str">
        <x:v>Portland St / Front St W</x:v>
      </x:c>
      <x:c r="D983" s="6" t="n">
        <x:v>790</x:v>
      </x:c>
      <x:c r="E983" s="6" t="n">
        <x:v>586</x:v>
      </x:c>
      <x:c r="F983" s="6" t="n">
        <x:v>204</x:v>
      </x:c>
      <x:c r="G983" s="6" t="n">
        <x:v>11</x:v>
      </x:c>
      <x:c r="H983" s="6" t="n">
        <x:v>115</x:v>
      </x:c>
      <x:c r="I983" s="6" t="n">
        <x:v>3444</x:v>
      </x:c>
      <x:c r="J983" s="11" t="n">
        <x:f>E983/D983</x:f>
        <x:v>0.7417721518987341</x:v>
      </x:c>
      <x:c r="K983" s="11" t="n">
        <x:f>F983/D983</x:f>
        <x:v>0.2582278481012658</x:v>
      </x:c>
      <x:c r="L983" s="13" t="n">
        <x:f>I983/D983</x:f>
        <x:v>4.359493670886076</x:v>
      </x:c>
      <x:c r="M983" s="6" t="str">
        <x:v>Included</x:v>
      </x:c>
    </x:row>
    <x:row r="984" ht="23" customHeight="1">
      <x:c r="B984" s="12" t="str">
        <x:v>8169</x:v>
      </x:c>
      <x:c r="C984" s="6" t="str">
        <x:v>William Cragg Dr / Jane St</x:v>
      </x:c>
      <x:c r="D984" s="6" t="n">
        <x:v>785</x:v>
      </x:c>
      <x:c r="E984" s="6" t="n">
        <x:v>785</x:v>
      </x:c>
      <x:c r="F984" s="6" t="n">
        <x:v>0</x:v>
      </x:c>
      <x:c r="G984" s="6" t="n">
        <x:v>11</x:v>
      </x:c>
      <x:c r="H984" s="6" t="n">
        <x:v>114</x:v>
      </x:c>
      <x:c r="I984" s="6" t="n">
        <x:v>8630</x:v>
      </x:c>
      <x:c r="J984" s="11" t="n">
        <x:f>E984/D984</x:f>
        <x:v>1</x:v>
      </x:c>
      <x:c r="K984" s="11" t="n">
        <x:f>F984/D984</x:f>
        <x:v>0</x:v>
      </x:c>
      <x:c r="L984" s="13" t="n">
        <x:f>I984/D984</x:f>
        <x:v>10.993630573248408</x:v>
      </x:c>
      <x:c r="M984" s="6" t="str">
        <x:v>Included</x:v>
      </x:c>
    </x:row>
    <x:row r="985" ht="23" customHeight="1">
      <x:c r="B985" s="12" t="str">
        <x:v>8170</x:v>
      </x:c>
      <x:c r="C985" s="6" t="str">
        <x:v>Munition St / Commissioners St</x:v>
      </x:c>
      <x:c r="D985" s="6" t="n">
        <x:v>789</x:v>
      </x:c>
      <x:c r="E985" s="6" t="n">
        <x:v>735</x:v>
      </x:c>
      <x:c r="F985" s="6" t="n">
        <x:v>54</x:v>
      </x:c>
      <x:c r="G985" s="6" t="n">
        <x:v>11</x:v>
      </x:c>
      <x:c r="H985" s="6" t="n">
        <x:v>115</x:v>
      </x:c>
      <x:c r="I985" s="6" t="n">
        <x:v>4126</x:v>
      </x:c>
      <x:c r="J985" s="11" t="n">
        <x:f>E985/D985</x:f>
        <x:v>0.9315589353612167</x:v>
      </x:c>
      <x:c r="K985" s="11" t="n">
        <x:f>F985/D985</x:f>
        <x:v>0.06844106463878327</x:v>
      </x:c>
      <x:c r="L985" s="13" t="n">
        <x:f>I985/D985</x:f>
        <x:v>5.229404309252218</x:v>
      </x:c>
      <x:c r="M985" s="6" t="str">
        <x:v>Included</x:v>
      </x:c>
    </x:row>
    <x:row r="986" ht="23" customHeight="1">
      <x:c r="B986" s="12" t="str">
        <x:v>8171</x:v>
      </x:c>
      <x:c r="C986" s="6" t="str">
        <x:v>Grafton Ave / Roncesvalles Ave</x:v>
      </x:c>
      <x:c r="D986" s="6" t="n">
        <x:v>775</x:v>
      </x:c>
      <x:c r="E986" s="6" t="n">
        <x:v>719</x:v>
      </x:c>
      <x:c r="F986" s="6" t="n">
        <x:v>56</x:v>
      </x:c>
      <x:c r="G986" s="6" t="n">
        <x:v>11</x:v>
      </x:c>
      <x:c r="H986" s="6" t="n">
        <x:v>115</x:v>
      </x:c>
      <x:c r="I986" s="6" t="n">
        <x:v>4144</x:v>
      </x:c>
      <x:c r="J986" s="11" t="n">
        <x:f>E986/D986</x:f>
        <x:v>0.927741935483871</x:v>
      </x:c>
      <x:c r="K986" s="11" t="n">
        <x:f>F986/D986</x:f>
        <x:v>0.07225806451612904</x:v>
      </x:c>
      <x:c r="L986" s="13" t="n">
        <x:f>I986/D986</x:f>
        <x:v>5.347096774193548</x:v>
      </x:c>
      <x:c r="M986" s="6" t="str">
        <x:v>Included</x:v>
      </x:c>
    </x:row>
    <x:row r="987" ht="23" customHeight="1">
      <x:c r="B987" s="12" t="str">
        <x:v>8172</x:v>
      </x:c>
      <x:c r="C987" s="6" t="str">
        <x:v>Silverthorn Ave / Pryor Ave</x:v>
      </x:c>
      <x:c r="D987" s="6" t="n">
        <x:v>787</x:v>
      </x:c>
      <x:c r="E987" s="6" t="n">
        <x:v>787</x:v>
      </x:c>
      <x:c r="F987" s="6" t="n">
        <x:v>0</x:v>
      </x:c>
      <x:c r="G987" s="6" t="n">
        <x:v>11</x:v>
      </x:c>
      <x:c r="H987" s="6" t="n">
        <x:v>115</x:v>
      </x:c>
      <x:c r="I987" s="6" t="n">
        <x:v>14525</x:v>
      </x:c>
      <x:c r="J987" s="11" t="n">
        <x:f>E987/D987</x:f>
        <x:v>1</x:v>
      </x:c>
      <x:c r="K987" s="11" t="n">
        <x:f>F987/D987</x:f>
        <x:v>0</x:v>
      </x:c>
      <x:c r="L987" s="13" t="n">
        <x:f>I987/D987</x:f>
        <x:v>18.456162642947902</x:v>
      </x:c>
      <x:c r="M987" s="6" t="str">
        <x:v>Included</x:v>
      </x:c>
    </x:row>
    <x:row r="988" ht="23" customHeight="1">
      <x:c r="B988" s="12" t="str">
        <x:v>8173</x:v>
      </x:c>
      <x:c r="C988" s="6" t="str">
        <x:v>St. Clair Ave W / Poplar Plains Rd</x:v>
      </x:c>
      <x:c r="D988" s="6" t="n">
        <x:v>789</x:v>
      </x:c>
      <x:c r="E988" s="6" t="n">
        <x:v>789</x:v>
      </x:c>
      <x:c r="F988" s="6" t="n">
        <x:v>0</x:v>
      </x:c>
      <x:c r="G988" s="6" t="n">
        <x:v>11</x:v>
      </x:c>
      <x:c r="H988" s="6" t="n">
        <x:v>115</x:v>
      </x:c>
      <x:c r="I988" s="6" t="n">
        <x:v>7219</x:v>
      </x:c>
      <x:c r="J988" s="11" t="n">
        <x:f>E988/D988</x:f>
        <x:v>1</x:v>
      </x:c>
      <x:c r="K988" s="11" t="n">
        <x:f>F988/D988</x:f>
        <x:v>0</x:v>
      </x:c>
      <x:c r="L988" s="13" t="n">
        <x:f>I988/D988</x:f>
        <x:v>9.14955640050697</x:v>
      </x:c>
      <x:c r="M988" s="6" t="str">
        <x:v>Included</x:v>
      </x:c>
    </x:row>
    <x:row r="989" ht="23" customHeight="1">
      <x:c r="B989" s="12" t="str">
        <x:v>8174</x:v>
      </x:c>
      <x:c r="C989" s="6" t="str">
        <x:v>Wellington St E / Church St</x:v>
      </x:c>
      <x:c r="D989" s="6" t="n">
        <x:v>782</x:v>
      </x:c>
      <x:c r="E989" s="6" t="n">
        <x:v>695</x:v>
      </x:c>
      <x:c r="F989" s="6" t="n">
        <x:v>87</x:v>
      </x:c>
      <x:c r="G989" s="6" t="n">
        <x:v>11</x:v>
      </x:c>
      <x:c r="H989" s="6" t="n">
        <x:v>115</x:v>
      </x:c>
      <x:c r="I989" s="6" t="n">
        <x:v>4616</x:v>
      </x:c>
      <x:c r="J989" s="11" t="n">
        <x:f>E989/D989</x:f>
        <x:v>0.8887468030690537</x:v>
      </x:c>
      <x:c r="K989" s="11" t="n">
        <x:f>F989/D989</x:f>
        <x:v>0.11125319693094629</x:v>
      </x:c>
      <x:c r="L989" s="13" t="n">
        <x:f>I989/D989</x:f>
        <x:v>5.9028132992327365</x:v>
      </x:c>
      <x:c r="M989" s="6" t="str">
        <x:v>Included</x:v>
      </x:c>
    </x:row>
    <x:row r="990" ht="23" customHeight="1">
      <x:c r="B990" s="12" t="str">
        <x:v>8175</x:v>
      </x:c>
      <x:c r="C990" s="6" t="str">
        <x:v>Simcoe St / Wellington St W (North) 3</x:v>
      </x:c>
      <x:c r="D990" s="6" t="n">
        <x:v>789</x:v>
      </x:c>
      <x:c r="E990" s="6" t="n">
        <x:v>596</x:v>
      </x:c>
      <x:c r="F990" s="6" t="n">
        <x:v>193</x:v>
      </x:c>
      <x:c r="G990" s="6" t="n">
        <x:v>11</x:v>
      </x:c>
      <x:c r="H990" s="6" t="n">
        <x:v>114</x:v>
      </x:c>
      <x:c r="I990" s="6" t="n">
        <x:v>6129</x:v>
      </x:c>
      <x:c r="J990" s="11" t="n">
        <x:f>E990/D990</x:f>
        <x:v>0.7553865652724968</x:v>
      </x:c>
      <x:c r="K990" s="11" t="n">
        <x:f>F990/D990</x:f>
        <x:v>0.24461343472750316</x:v>
      </x:c>
      <x:c r="L990" s="13" t="n">
        <x:f>I990/D990</x:f>
        <x:v>7.768060836501901</x:v>
      </x:c>
      <x:c r="M990" s="6" t="str">
        <x:v>Included</x:v>
      </x:c>
    </x:row>
    <x:row r="991" ht="23" customHeight="1">
      <x:c r="B991" s="12" t="str">
        <x:v>8176</x:v>
      </x:c>
      <x:c r="C991" s="6" t="str">
        <x:v>9 Willingdon Blvd</x:v>
      </x:c>
      <x:c r="D991" s="6" t="n">
        <x:v>790</x:v>
      </x:c>
      <x:c r="E991" s="6" t="n">
        <x:v>714</x:v>
      </x:c>
      <x:c r="F991" s="6" t="n">
        <x:v>76</x:v>
      </x:c>
      <x:c r="G991" s="6" t="n">
        <x:v>11</x:v>
      </x:c>
      <x:c r="H991" s="6" t="n">
        <x:v>115</x:v>
      </x:c>
      <x:c r="I991" s="6" t="n">
        <x:v>13134</x:v>
      </x:c>
      <x:c r="J991" s="11" t="n">
        <x:f>E991/D991</x:f>
        <x:v>0.9037974683544304</x:v>
      </x:c>
      <x:c r="K991" s="11" t="n">
        <x:f>F991/D991</x:f>
        <x:v>0.09620253164556962</x:v>
      </x:c>
      <x:c r="L991" s="13" t="n">
        <x:f>I991/D991</x:f>
        <x:v>16.625316455696204</x:v>
      </x:c>
      <x:c r="M991" s="6" t="str">
        <x:v>Included</x:v>
      </x:c>
    </x:row>
    <x:row r="992" ht="23" customHeight="1">
      <x:c r="B992" s="12" t="str">
        <x:v>8177</x:v>
      </x:c>
      <x:c r="C992" s="6" t="str">
        <x:v>Linkwood Ln / Spanbridge Rd</x:v>
      </x:c>
      <x:c r="D992" s="6" t="n">
        <x:v>785</x:v>
      </x:c>
      <x:c r="E992" s="6" t="n">
        <x:v>785</x:v>
      </x:c>
      <x:c r="F992" s="6" t="n">
        <x:v>0</x:v>
      </x:c>
      <x:c r="G992" s="6" t="n">
        <x:v>11</x:v>
      </x:c>
      <x:c r="H992" s="6" t="n">
        <x:v>115</x:v>
      </x:c>
      <x:c r="I992" s="6" t="n">
        <x:v>7307</x:v>
      </x:c>
      <x:c r="J992" s="11" t="n">
        <x:f>E992/D992</x:f>
        <x:v>1</x:v>
      </x:c>
      <x:c r="K992" s="11" t="n">
        <x:f>F992/D992</x:f>
        <x:v>0</x:v>
      </x:c>
      <x:c r="L992" s="13" t="n">
        <x:f>I992/D992</x:f>
        <x:v>9.30828025477707</x:v>
      </x:c>
      <x:c r="M992" s="6" t="str">
        <x:v>Included</x:v>
      </x:c>
    </x:row>
    <x:row r="993" ht="23" customHeight="1">
      <x:c r="B993" s="12" t="str">
        <x:v>8178</x:v>
      </x:c>
      <x:c r="C993" s="6" t="str">
        <x:v>Agincourt GO Station</x:v>
      </x:c>
      <x:c r="D993" s="6" t="n">
        <x:v>791</x:v>
      </x:c>
      <x:c r="E993" s="6" t="n">
        <x:v>791</x:v>
      </x:c>
      <x:c r="F993" s="6" t="n">
        <x:v>0</x:v>
      </x:c>
      <x:c r="G993" s="6" t="n">
        <x:v>11</x:v>
      </x:c>
      <x:c r="H993" s="6" t="n">
        <x:v>115</x:v>
      </x:c>
      <x:c r="I993" s="6" t="n">
        <x:v>16483</x:v>
      </x:c>
      <x:c r="J993" s="11" t="n">
        <x:f>E993/D993</x:f>
        <x:v>1</x:v>
      </x:c>
      <x:c r="K993" s="11" t="n">
        <x:f>F993/D993</x:f>
        <x:v>0</x:v>
      </x:c>
      <x:c r="L993" s="13" t="n">
        <x:f>I993/D993</x:f>
        <x:v>20.83817951959545</x:v>
      </x:c>
      <x:c r="M993" s="6" t="str">
        <x:v>Included</x:v>
      </x:c>
    </x:row>
    <x:row r="994" ht="23" customHeight="1">
      <x:c r="B994" s="12" t="str">
        <x:v>8179</x:v>
      </x:c>
      <x:c r="C994" s="6" t="str">
        <x:v>McCowan Rd / Brimorton Dr</x:v>
      </x:c>
      <x:c r="D994" s="6" t="n">
        <x:v>790</x:v>
      </x:c>
      <x:c r="E994" s="6" t="n">
        <x:v>790</x:v>
      </x:c>
      <x:c r="F994" s="6" t="n">
        <x:v>0</x:v>
      </x:c>
      <x:c r="G994" s="6" t="n">
        <x:v>11</x:v>
      </x:c>
      <x:c r="H994" s="6" t="n">
        <x:v>115</x:v>
      </x:c>
      <x:c r="I994" s="6" t="n">
        <x:v>6850</x:v>
      </x:c>
      <x:c r="J994" s="11" t="n">
        <x:f>E994/D994</x:f>
        <x:v>1</x:v>
      </x:c>
      <x:c r="K994" s="11" t="n">
        <x:f>F994/D994</x:f>
        <x:v>0</x:v>
      </x:c>
      <x:c r="L994" s="13" t="n">
        <x:f>I994/D994</x:f>
        <x:v>8.670886075949367</x:v>
      </x:c>
      <x:c r="M994" s="6" t="str">
        <x:v>Included</x:v>
      </x:c>
    </x:row>
    <x:row r="995" ht="23" customHeight="1">
      <x:c r="B995" s="12" t="str">
        <x:v>8180</x:v>
      </x:c>
      <x:c r="C995" s="6" t="str">
        <x:v>Osler Playground (Argyle St)</x:v>
      </x:c>
      <x:c r="D995" s="6" t="n">
        <x:v>784</x:v>
      </x:c>
      <x:c r="E995" s="6" t="n">
        <x:v>638</x:v>
      </x:c>
      <x:c r="F995" s="6" t="n">
        <x:v>146</x:v>
      </x:c>
      <x:c r="G995" s="6" t="n">
        <x:v>11</x:v>
      </x:c>
      <x:c r="H995" s="6" t="n">
        <x:v>114</x:v>
      </x:c>
      <x:c r="I995" s="6" t="n">
        <x:v>3487</x:v>
      </x:c>
      <x:c r="J995" s="11" t="n">
        <x:f>E995/D995</x:f>
        <x:v>0.8137755102040817</x:v>
      </x:c>
      <x:c r="K995" s="11" t="n">
        <x:f>F995/D995</x:f>
        <x:v>0.18622448979591838</x:v>
      </x:c>
      <x:c r="L995" s="13" t="n">
        <x:f>I995/D995</x:f>
        <x:v>4.447704081632653</x:v>
      </x:c>
      <x:c r="M995" s="6" t="str">
        <x:v>Included</x:v>
      </x:c>
    </x:row>
    <x:row r="996" ht="23" customHeight="1">
      <x:c r="B996" s="12" t="str">
        <x:v>8181</x:v>
      </x:c>
      <x:c r="C996" s="6" t="str">
        <x:v>Commissioners St / Cherry St</x:v>
      </x:c>
      <x:c r="D996" s="6" t="n">
        <x:v>784</x:v>
      </x:c>
      <x:c r="E996" s="6" t="n">
        <x:v>783</x:v>
      </x:c>
      <x:c r="F996" s="6" t="n">
        <x:v>1</x:v>
      </x:c>
      <x:c r="G996" s="6" t="n">
        <x:v>11</x:v>
      </x:c>
      <x:c r="H996" s="6" t="n">
        <x:v>114</x:v>
      </x:c>
      <x:c r="I996" s="6" t="n">
        <x:v>13819</x:v>
      </x:c>
      <x:c r="J996" s="11" t="n">
        <x:f>E996/D996</x:f>
        <x:v>0.9987244897959183</x:v>
      </x:c>
      <x:c r="K996" s="11" t="n">
        <x:f>F996/D996</x:f>
        <x:v>0.0012755102040816326</x:v>
      </x:c>
      <x:c r="L996" s="13" t="n">
        <x:f>I996/D996</x:f>
        <x:v>17.62627551020408</x:v>
      </x:c>
      <x:c r="M996" s="6" t="str">
        <x:v>Included</x:v>
      </x:c>
    </x:row>
    <x:row r="997" ht="23" customHeight="1">
      <x:c r="B997" s="12" t="str">
        <x:v>8182</x:v>
      </x:c>
      <x:c r="C997" s="6" t="str">
        <x:v>Biidaasige Park (11 Munition St)</x:v>
      </x:c>
      <x:c r="D997" s="6" t="n">
        <x:v>778</x:v>
      </x:c>
      <x:c r="E997" s="6" t="n">
        <x:v>643</x:v>
      </x:c>
      <x:c r="F997" s="6" t="n">
        <x:v>135</x:v>
      </x:c>
      <x:c r="G997" s="6" t="n">
        <x:v>11</x:v>
      </x:c>
      <x:c r="H997" s="6" t="n">
        <x:v>115</x:v>
      </x:c>
      <x:c r="I997" s="6" t="n">
        <x:v>3960</x:v>
      </x:c>
      <x:c r="J997" s="11" t="n">
        <x:f>E997/D997</x:f>
        <x:v>0.8264781491002571</x:v>
      </x:c>
      <x:c r="K997" s="11" t="n">
        <x:f>F997/D997</x:f>
        <x:v>0.17352185089974292</x:v>
      </x:c>
      <x:c r="L997" s="13" t="n">
        <x:f>I997/D997</x:f>
        <x:v>5.089974293059126</x:v>
      </x:c>
      <x:c r="M997" s="6" t="str">
        <x:v>Included</x:v>
      </x:c>
    </x:row>
    <x:row r="998" ht="23" customHeight="1">
      <x:c r="B998" s="12" t="str">
        <x:v>8183</x:v>
      </x:c>
      <x:c r="C998" s="6" t="str">
        <x:v>Dufferin St / King St W</x:v>
      </x:c>
      <x:c r="D998" s="6" t="n">
        <x:v>789</x:v>
      </x:c>
      <x:c r="E998" s="6" t="n">
        <x:v>707</x:v>
      </x:c>
      <x:c r="F998" s="6" t="n">
        <x:v>82</x:v>
      </x:c>
      <x:c r="G998" s="6" t="n">
        <x:v>11</x:v>
      </x:c>
      <x:c r="H998" s="6" t="n">
        <x:v>115</x:v>
      </x:c>
      <x:c r="I998" s="6" t="n">
        <x:v>9661</x:v>
      </x:c>
      <x:c r="J998" s="11" t="n">
        <x:f>E998/D998</x:f>
        <x:v>0.8960709759188846</x:v>
      </x:c>
      <x:c r="K998" s="11" t="n">
        <x:f>F998/D998</x:f>
        <x:v>0.10392902408111533</x:v>
      </x:c>
      <x:c r="L998" s="13" t="n">
        <x:f>I998/D998</x:f>
        <x:v>12.244613434727503</x:v>
      </x:c>
      <x:c r="M998" s="6" t="str">
        <x:v>Included</x:v>
      </x:c>
    </x:row>
    <x:row r="999" ht="23" customHeight="1">
      <x:c r="B999" s="12" t="str">
        <x:v>8184</x:v>
      </x:c>
      <x:c r="C999" s="6" t="str">
        <x:v>Antibes Dr / Bathurst St</x:v>
      </x:c>
      <x:c r="D999" s="6" t="n">
        <x:v>793</x:v>
      </x:c>
      <x:c r="E999" s="6" t="n">
        <x:v>793</x:v>
      </x:c>
      <x:c r="F999" s="6" t="n">
        <x:v>0</x:v>
      </x:c>
      <x:c r="G999" s="6" t="n">
        <x:v>11</x:v>
      </x:c>
      <x:c r="H999" s="6" t="n">
        <x:v>114</x:v>
      </x:c>
      <x:c r="I999" s="6" t="n">
        <x:v>9667</x:v>
      </x:c>
      <x:c r="J999" s="11" t="n">
        <x:f>E999/D999</x:f>
        <x:v>1</x:v>
      </x:c>
      <x:c r="K999" s="11" t="n">
        <x:f>F999/D999</x:f>
        <x:v>0</x:v>
      </x:c>
      <x:c r="L999" s="13" t="n">
        <x:f>I999/D999</x:f>
        <x:v>12.190416141235813</x:v>
      </x:c>
      <x:c r="M999" s="6" t="str">
        <x:v>Included</x:v>
      </x:c>
    </x:row>
    <x:row r="1000" ht="23" customHeight="1">
      <x:c r="B1000" s="12" t="str">
        <x:v>8185</x:v>
      </x:c>
      <x:c r="C1000" s="6" t="str">
        <x:v>Laird Crosstown Station</x:v>
      </x:c>
      <x:c r="D1000" s="6" t="n">
        <x:v>782</x:v>
      </x:c>
      <x:c r="E1000" s="6" t="n">
        <x:v>782</x:v>
      </x:c>
      <x:c r="F1000" s="6" t="n">
        <x:v>0</x:v>
      </x:c>
      <x:c r="G1000" s="6" t="n">
        <x:v>11</x:v>
      </x:c>
      <x:c r="H1000" s="6" t="n">
        <x:v>114</x:v>
      </x:c>
      <x:c r="I1000" s="6" t="n">
        <x:v>7719</x:v>
      </x:c>
      <x:c r="J1000" s="11" t="n">
        <x:f>E1000/D1000</x:f>
        <x:v>1</x:v>
      </x:c>
      <x:c r="K1000" s="11" t="n">
        <x:f>F1000/D1000</x:f>
        <x:v>0</x:v>
      </x:c>
      <x:c r="L1000" s="13" t="n">
        <x:f>I1000/D1000</x:f>
        <x:v>9.87084398976982</x:v>
      </x:c>
      <x:c r="M1000" s="6" t="str">
        <x:v>Included</x:v>
      </x:c>
    </x:row>
    <x:row r="1001" ht="23" customHeight="1">
      <x:c r="B1001" s="12" t="str">
        <x:v>8186</x:v>
      </x:c>
      <x:c r="C1001" s="6" t="str">
        <x:v>265 Willard Ave</x:v>
      </x:c>
      <x:c r="D1001" s="6" t="n">
        <x:v>807</x:v>
      </x:c>
      <x:c r="E1001" s="6" t="n">
        <x:v>786</x:v>
      </x:c>
      <x:c r="F1001" s="6" t="n">
        <x:v>21</x:v>
      </x:c>
      <x:c r="G1001" s="6" t="n">
        <x:v>11</x:v>
      </x:c>
      <x:c r="H1001" s="6" t="n">
        <x:v>115</x:v>
      </x:c>
      <x:c r="I1001" s="6" t="n">
        <x:v>6277</x:v>
      </x:c>
      <x:c r="J1001" s="11" t="n">
        <x:f>E1001/D1001</x:f>
        <x:v>0.9739776951672863</x:v>
      </x:c>
      <x:c r="K1001" s="11" t="n">
        <x:f>F1001/D1001</x:f>
        <x:v>0.026022304832713755</x:v>
      </x:c>
      <x:c r="L1001" s="13" t="n">
        <x:f>I1001/D1001</x:f>
        <x:v>7.77819083023544</x:v>
      </x:c>
      <x:c r="M1001" s="6" t="str">
        <x:v>Included</x:v>
      </x:c>
    </x:row>
    <x:row r="1002" ht="23" customHeight="1">
      <x:c r="B1002" s="12" t="str">
        <x:v>8187</x:v>
      </x:c>
      <x:c r="C1002" s="6" t="str">
        <x:v>Glen Rd / Bloor St</x:v>
      </x:c>
      <x:c r="D1002" s="6" t="n">
        <x:v>790</x:v>
      </x:c>
      <x:c r="E1002" s="6" t="n">
        <x:v>772</x:v>
      </x:c>
      <x:c r="F1002" s="6" t="n">
        <x:v>18</x:v>
      </x:c>
      <x:c r="G1002" s="6" t="n">
        <x:v>11</x:v>
      </x:c>
      <x:c r="H1002" s="6" t="n">
        <x:v>115</x:v>
      </x:c>
      <x:c r="I1002" s="6" t="n">
        <x:v>7632</x:v>
      </x:c>
      <x:c r="J1002" s="11" t="n">
        <x:f>E1002/D1002</x:f>
        <x:v>0.9772151898734177</x:v>
      </x:c>
      <x:c r="K1002" s="11" t="n">
        <x:f>F1002/D1002</x:f>
        <x:v>0.02278481012658228</x:v>
      </x:c>
      <x:c r="L1002" s="13" t="n">
        <x:f>I1002/D1002</x:f>
        <x:v>9.660759493670886</x:v>
      </x:c>
      <x:c r="M1002" s="6" t="str">
        <x:v>Included</x:v>
      </x:c>
    </x:row>
    <x:row r="1003" ht="23" customHeight="1">
      <x:c r="B1003" s="12" t="str">
        <x:v>8188</x:v>
      </x:c>
      <x:c r="C1003" s="6" t="str">
        <x:v>16 John St</x:v>
      </x:c>
      <x:c r="D1003" s="6" t="n">
        <x:v>790</x:v>
      </x:c>
      <x:c r="E1003" s="6" t="n">
        <x:v>713</x:v>
      </x:c>
      <x:c r="F1003" s="6" t="n">
        <x:v>77</x:v>
      </x:c>
      <x:c r="G1003" s="6" t="n">
        <x:v>11</x:v>
      </x:c>
      <x:c r="H1003" s="6" t="n">
        <x:v>115</x:v>
      </x:c>
      <x:c r="I1003" s="6" t="n">
        <x:v>4037</x:v>
      </x:c>
      <x:c r="J1003" s="11" t="n">
        <x:f>E1003/D1003</x:f>
        <x:v>0.9025316455696203</x:v>
      </x:c>
      <x:c r="K1003" s="11" t="n">
        <x:f>F1003/D1003</x:f>
        <x:v>0.09746835443037975</x:v>
      </x:c>
      <x:c r="L1003" s="13" t="n">
        <x:f>I1003/D1003</x:f>
        <x:v>5.110126582278481</x:v>
      </x:c>
      <x:c r="M1003" s="6" t="str">
        <x:v>Included</x:v>
      </x:c>
    </x:row>
    <x:row r="1004" ht="23" customHeight="1">
      <x:c r="B1004" s="12" t="str">
        <x:v>8189</x:v>
      </x:c>
      <x:c r="C1004" s="6" t="str">
        <x:v>25 St. Mary St</x:v>
      </x:c>
      <x:c r="D1004" s="6" t="n">
        <x:v>786</x:v>
      </x:c>
      <x:c r="E1004" s="6" t="n">
        <x:v>786</x:v>
      </x:c>
      <x:c r="F1004" s="6" t="n">
        <x:v>0</x:v>
      </x:c>
      <x:c r="G1004" s="6" t="n">
        <x:v>11</x:v>
      </x:c>
      <x:c r="H1004" s="6" t="n">
        <x:v>114</x:v>
      </x:c>
      <x:c r="I1004" s="6" t="n">
        <x:v>10544</x:v>
      </x:c>
      <x:c r="J1004" s="11" t="n">
        <x:f>E1004/D1004</x:f>
        <x:v>1</x:v>
      </x:c>
      <x:c r="K1004" s="11" t="n">
        <x:f>F1004/D1004</x:f>
        <x:v>0</x:v>
      </x:c>
      <x:c r="L1004" s="13" t="n">
        <x:f>I1004/D1004</x:f>
        <x:v>13.414758269720101</x:v>
      </x:c>
      <x:c r="M1004" s="6" t="str">
        <x:v>Included</x:v>
      </x:c>
    </x:row>
    <x:row r="1005" ht="23" customHeight="1">
      <x:c r="B1005" s="12" t="str">
        <x:v>8190</x:v>
      </x:c>
      <x:c r="C1005" s="6" t="str">
        <x:v>1651 Queen St E</x:v>
      </x:c>
      <x:c r="D1005" s="6" t="n">
        <x:v>787</x:v>
      </x:c>
      <x:c r="E1005" s="6" t="n">
        <x:v>587</x:v>
      </x:c>
      <x:c r="F1005" s="6" t="n">
        <x:v>200</x:v>
      </x:c>
      <x:c r="G1005" s="6" t="n">
        <x:v>11</x:v>
      </x:c>
      <x:c r="H1005" s="6" t="n">
        <x:v>114</x:v>
      </x:c>
      <x:c r="I1005" s="6" t="n">
        <x:v>9270</x:v>
      </x:c>
      <x:c r="J1005" s="11" t="n">
        <x:f>E1005/D1005</x:f>
        <x:v>0.7458703939008895</x:v>
      </x:c>
      <x:c r="K1005" s="11" t="n">
        <x:f>F1005/D1005</x:f>
        <x:v>0.25412960609911056</x:v>
      </x:c>
      <x:c r="L1005" s="13" t="n">
        <x:f>I1005/D1005</x:f>
        <x:v>11.778907242693775</x:v>
      </x:c>
      <x:c r="M1005" s="6" t="str">
        <x:v>Included</x:v>
      </x:c>
    </x:row>
    <x:row r="1006" ht="23" customHeight="1">
      <x:c r="B1006" s="12" t="str">
        <x:v>8191</x:v>
      </x:c>
      <x:c r="C1006" s="6" t="str">
        <x:v>1141 Eastern Ave</x:v>
      </x:c>
      <x:c r="D1006" s="6" t="n">
        <x:v>790</x:v>
      </x:c>
      <x:c r="E1006" s="6" t="n">
        <x:v>681</x:v>
      </x:c>
      <x:c r="F1006" s="6" t="n">
        <x:v>109</x:v>
      </x:c>
      <x:c r="G1006" s="6" t="n">
        <x:v>11</x:v>
      </x:c>
      <x:c r="H1006" s="6" t="n">
        <x:v>116</x:v>
      </x:c>
      <x:c r="I1006" s="6" t="n">
        <x:v>6900</x:v>
      </x:c>
      <x:c r="J1006" s="11" t="n">
        <x:f>E1006/D1006</x:f>
        <x:v>0.8620253164556962</x:v>
      </x:c>
      <x:c r="K1006" s="11" t="n">
        <x:f>F1006/D1006</x:f>
        <x:v>0.1379746835443038</x:v>
      </x:c>
      <x:c r="L1006" s="13" t="n">
        <x:f>I1006/D1006</x:f>
        <x:v>8.734177215189874</x:v>
      </x:c>
      <x:c r="M1006" s="6" t="str">
        <x:v>Included</x:v>
      </x:c>
    </x:row>
    <x:row r="1007" ht="23" customHeight="1">
      <x:c r="B1007" s="12" t="str">
        <x:v>8193</x:v>
      </x:c>
      <x:c r="C1007" s="6" t="str">
        <x:v>7 Norton Ave</x:v>
      </x:c>
      <x:c r="D1007" s="6" t="n">
        <x:v>782</x:v>
      </x:c>
      <x:c r="E1007" s="6" t="n">
        <x:v>770</x:v>
      </x:c>
      <x:c r="F1007" s="6" t="n">
        <x:v>12</x:v>
      </x:c>
      <x:c r="G1007" s="6" t="n">
        <x:v>11</x:v>
      </x:c>
      <x:c r="H1007" s="6" t="n">
        <x:v>114</x:v>
      </x:c>
      <x:c r="I1007" s="6" t="n">
        <x:v>9848</x:v>
      </x:c>
      <x:c r="J1007" s="11" t="n">
        <x:f>E1007/D1007</x:f>
        <x:v>0.9846547314578005</x:v>
      </x:c>
      <x:c r="K1007" s="11" t="n">
        <x:f>F1007/D1007</x:f>
        <x:v>0.015345268542199489</x:v>
      </x:c>
      <x:c r="L1007" s="13" t="n">
        <x:f>I1007/D1007</x:f>
        <x:v>12.593350383631714</x:v>
      </x:c>
      <x:c r="M1007" s="6" t="str">
        <x:v>Included</x:v>
      </x:c>
    </x:row>
    <x:row r="1008" ht="23" customHeight="1">
      <x:c r="B1008" s="12" t="str">
        <x:v>8194</x:v>
      </x:c>
      <x:c r="C1008" s="6" t="str">
        <x:v>125 Burnaby Blvd</x:v>
      </x:c>
      <x:c r="D1008" s="6" t="n">
        <x:v>808</x:v>
      </x:c>
      <x:c r="E1008" s="6" t="n">
        <x:v>795</x:v>
      </x:c>
      <x:c r="F1008" s="6" t="n">
        <x:v>13</x:v>
      </x:c>
      <x:c r="G1008" s="6" t="n">
        <x:v>11</x:v>
      </x:c>
      <x:c r="H1008" s="6" t="n">
        <x:v>115</x:v>
      </x:c>
      <x:c r="I1008" s="6" t="n">
        <x:v>7132</x:v>
      </x:c>
      <x:c r="J1008" s="11" t="n">
        <x:f>E1008/D1008</x:f>
        <x:v>0.9839108910891089</x:v>
      </x:c>
      <x:c r="K1008" s="11" t="n">
        <x:f>F1008/D1008</x:f>
        <x:v>0.01608910891089109</x:v>
      </x:c>
      <x:c r="L1008" s="13" t="n">
        <x:f>I1008/D1008</x:f>
        <x:v>8.826732673267326</x:v>
      </x:c>
      <x:c r="M1008" s="6" t="str">
        <x:v>Included</x:v>
      </x:c>
    </x:row>
    <x:row r="1009" ht="23" customHeight="1">
      <x:c r="B1009" s="12" t="str">
        <x:v>8196</x:v>
      </x:c>
      <x:c r="C1009" s="6" t="str">
        <x:v>737 Rhodes Ave</x:v>
      </x:c>
      <x:c r="D1009" s="6" t="n">
        <x:v>792</x:v>
      </x:c>
      <x:c r="E1009" s="6" t="n">
        <x:v>722</x:v>
      </x:c>
      <x:c r="F1009" s="6" t="n">
        <x:v>70</x:v>
      </x:c>
      <x:c r="G1009" s="6" t="n">
        <x:v>11</x:v>
      </x:c>
      <x:c r="H1009" s="6" t="n">
        <x:v>115</x:v>
      </x:c>
      <x:c r="I1009" s="6" t="n">
        <x:v>8459</x:v>
      </x:c>
      <x:c r="J1009" s="11" t="n">
        <x:f>E1009/D1009</x:f>
        <x:v>0.9116161616161617</x:v>
      </x:c>
      <x:c r="K1009" s="11" t="n">
        <x:f>F1009/D1009</x:f>
        <x:v>0.08838383838383838</x:v>
      </x:c>
      <x:c r="L1009" s="13" t="n">
        <x:f>I1009/D1009</x:f>
        <x:v>10.680555555555555</x:v>
      </x:c>
      <x:c r="M1009" s="6" t="str">
        <x:v>Included</x:v>
      </x:c>
    </x:row>
    <x:row r="1010" ht="23" customHeight="1">
      <x:c r="B1010" s="12" t="str">
        <x:v>8197</x:v>
      </x:c>
      <x:c r="C1010" s="6" t="str">
        <x:v>10 Kingsdale Ave</x:v>
      </x:c>
      <x:c r="D1010" s="6" t="n">
        <x:v>748</x:v>
      </x:c>
      <x:c r="E1010" s="6" t="n">
        <x:v>648</x:v>
      </x:c>
      <x:c r="F1010" s="6" t="n">
        <x:v>100</x:v>
      </x:c>
      <x:c r="G1010" s="6" t="n">
        <x:v>11</x:v>
      </x:c>
      <x:c r="H1010" s="6" t="n">
        <x:v>113</x:v>
      </x:c>
      <x:c r="I1010" s="6" t="n">
        <x:v>5753</x:v>
      </x:c>
      <x:c r="J1010" s="11" t="n">
        <x:f>E1010/D1010</x:f>
        <x:v>0.8663101604278075</x:v>
      </x:c>
      <x:c r="K1010" s="11" t="n">
        <x:f>F1010/D1010</x:f>
        <x:v>0.13368983957219252</x:v>
      </x:c>
      <x:c r="L1010" s="13" t="n">
        <x:f>I1010/D1010</x:f>
        <x:v>7.6911764705882355</x:v>
      </x:c>
      <x:c r="M1010" s="6" t="str">
        <x:v>Included</x:v>
      </x:c>
    </x:row>
    <x:row r="1011" ht="23" customHeight="1">
      <x:c r="B1011" s="12" t="str">
        <x:v>8198</x:v>
      </x:c>
      <x:c r="C1011" s="6" t="str">
        <x:v>100 Grangeway Ave</x:v>
      </x:c>
      <x:c r="D1011" s="6" t="n">
        <x:v>791</x:v>
      </x:c>
      <x:c r="E1011" s="6" t="n">
        <x:v>791</x:v>
      </x:c>
      <x:c r="F1011" s="6" t="n">
        <x:v>0</x:v>
      </x:c>
      <x:c r="G1011" s="6" t="n">
        <x:v>11</x:v>
      </x:c>
      <x:c r="H1011" s="6" t="n">
        <x:v>115</x:v>
      </x:c>
      <x:c r="I1011" s="6" t="n">
        <x:v>5093</x:v>
      </x:c>
      <x:c r="J1011" s="11" t="n">
        <x:f>E1011/D1011</x:f>
        <x:v>1</x:v>
      </x:c>
      <x:c r="K1011" s="11" t="n">
        <x:f>F1011/D1011</x:f>
        <x:v>0</x:v>
      </x:c>
      <x:c r="L1011" s="13" t="n">
        <x:f>I1011/D1011</x:f>
        <x:v>6.438685208596713</x:v>
      </x:c>
      <x:c r="M1011" s="6" t="str">
        <x:v>Included</x:v>
      </x:c>
    </x:row>
    <x:row r="1012" ht="23" customHeight="1">
      <x:c r="B1012" s="12" t="str">
        <x:v>8199</x:v>
      </x:c>
      <x:c r="C1012" s="6" t="str">
        <x:v>7 Bartlett Ave</x:v>
      </x:c>
      <x:c r="D1012" s="6" t="n">
        <x:v>606</x:v>
      </x:c>
      <x:c r="E1012" s="6" t="n">
        <x:v>551</x:v>
      </x:c>
      <x:c r="F1012" s="6" t="n">
        <x:v>55</x:v>
      </x:c>
      <x:c r="G1012" s="6" t="n">
        <x:v>10</x:v>
      </x:c>
      <x:c r="H1012" s="6" t="n">
        <x:v>100</x:v>
      </x:c>
      <x:c r="I1012" s="6" t="n">
        <x:v>6857</x:v>
      </x:c>
      <x:c r="J1012" s="11" t="n">
        <x:f>E1012/D1012</x:f>
        <x:v>0.9092409240924092</x:v>
      </x:c>
      <x:c r="K1012" s="11" t="n">
        <x:f>F1012/D1012</x:f>
        <x:v>0.09075907590759076</x:v>
      </x:c>
      <x:c r="L1012" s="13" t="n">
        <x:f>I1012/D1012</x:f>
        <x:v>11.315181518151816</x:v>
      </x:c>
      <x:c r="M1012" s="6" t="str">
        <x:v>Included</x:v>
      </x:c>
    </x:row>
    <x:row r="1013" ht="23" customHeight="1">
      <x:c r="B1013" s="12" t="str">
        <x:v>8200</x:v>
      </x:c>
      <x:c r="C1013" s="6" t="str">
        <x:v>14 Fuller Ave</x:v>
      </x:c>
      <x:c r="D1013" s="6" t="n">
        <x:v>794</x:v>
      </x:c>
      <x:c r="E1013" s="6" t="n">
        <x:v>708</x:v>
      </x:c>
      <x:c r="F1013" s="6" t="n">
        <x:v>86</x:v>
      </x:c>
      <x:c r="G1013" s="6" t="n">
        <x:v>11</x:v>
      </x:c>
      <x:c r="H1013" s="6" t="n">
        <x:v>115</x:v>
      </x:c>
      <x:c r="I1013" s="6" t="n">
        <x:v>3863</x:v>
      </x:c>
      <x:c r="J1013" s="11" t="n">
        <x:f>E1013/D1013</x:f>
        <x:v>0.8916876574307305</x:v>
      </x:c>
      <x:c r="K1013" s="11" t="n">
        <x:f>F1013/D1013</x:f>
        <x:v>0.10831234256926953</x:v>
      </x:c>
      <x:c r="L1013" s="13" t="n">
        <x:f>I1013/D1013</x:f>
        <x:v>4.865239294710327</x:v>
      </x:c>
      <x:c r="M1013" s="6" t="str">
        <x:v>Included</x:v>
      </x:c>
    </x:row>
    <x:row r="1014" ht="23" customHeight="1">
      <x:c r="B1014" s="12" t="str">
        <x:v>8201</x:v>
      </x:c>
      <x:c r="C1014" s="6" t="str">
        <x:v>Falmouth Ave / Eglinton Ave E</x:v>
      </x:c>
      <x:c r="D1014" s="6" t="n">
        <x:v>791</x:v>
      </x:c>
      <x:c r="E1014" s="6" t="n">
        <x:v>791</x:v>
      </x:c>
      <x:c r="F1014" s="6" t="n">
        <x:v>0</x:v>
      </x:c>
      <x:c r="G1014" s="6" t="n">
        <x:v>11</x:v>
      </x:c>
      <x:c r="H1014" s="6" t="n">
        <x:v>115</x:v>
      </x:c>
      <x:c r="I1014" s="6" t="n">
        <x:v>6434</x:v>
      </x:c>
      <x:c r="J1014" s="11" t="n">
        <x:f>E1014/D1014</x:f>
        <x:v>1</x:v>
      </x:c>
      <x:c r="K1014" s="11" t="n">
        <x:f>F1014/D1014</x:f>
        <x:v>0</x:v>
      </x:c>
      <x:c r="L1014" s="13" t="n">
        <x:f>I1014/D1014</x:f>
        <x:v>8.134007585335018</x:v>
      </x:c>
      <x:c r="M1014" s="6" t="str">
        <x:v>Included</x:v>
      </x:c>
    </x:row>
    <x:row r="1015" ht="23" customHeight="1">
      <x:c r="B1015" s="12" t="str">
        <x:v>8202</x:v>
      </x:c>
      <x:c r="C1015" s="6" t="str">
        <x:v>Corporate Dr / Lee Centre Dr</x:v>
      </x:c>
      <x:c r="D1015" s="6" t="n">
        <x:v>782</x:v>
      </x:c>
      <x:c r="E1015" s="6" t="n">
        <x:v>782</x:v>
      </x:c>
      <x:c r="F1015" s="6" t="n">
        <x:v>0</x:v>
      </x:c>
      <x:c r="G1015" s="6" t="n">
        <x:v>11</x:v>
      </x:c>
      <x:c r="H1015" s="6" t="n">
        <x:v>114</x:v>
      </x:c>
      <x:c r="I1015" s="6" t="n">
        <x:v>8262</x:v>
      </x:c>
      <x:c r="J1015" s="11" t="n">
        <x:f>E1015/D1015</x:f>
        <x:v>1</x:v>
      </x:c>
      <x:c r="K1015" s="11" t="n">
        <x:f>F1015/D1015</x:f>
        <x:v>0</x:v>
      </x:c>
      <x:c r="L1015" s="13" t="n">
        <x:f>I1015/D1015</x:f>
        <x:v>10.565217391304348</x:v>
      </x:c>
      <x:c r="M1015" s="6" t="str">
        <x:v>Included</x:v>
      </x:c>
    </x:row>
    <x:row r="1016" ht="23" customHeight="1">
      <x:c r="B1016" s="12" t="str">
        <x:v>8203</x:v>
      </x:c>
      <x:c r="C1016" s="6" t="str">
        <x:v>Greenbrae Parkette</x:v>
      </x:c>
      <x:c r="D1016" s="6" t="n">
        <x:v>788</x:v>
      </x:c>
      <x:c r="E1016" s="6" t="n">
        <x:v>788</x:v>
      </x:c>
      <x:c r="F1016" s="6" t="n">
        <x:v>0</x:v>
      </x:c>
      <x:c r="G1016" s="6" t="n">
        <x:v>11</x:v>
      </x:c>
      <x:c r="H1016" s="6" t="n">
        <x:v>115</x:v>
      </x:c>
      <x:c r="I1016" s="6" t="n">
        <x:v>7157</x:v>
      </x:c>
      <x:c r="J1016" s="11" t="n">
        <x:f>E1016/D1016</x:f>
        <x:v>1</x:v>
      </x:c>
      <x:c r="K1016" s="11" t="n">
        <x:f>F1016/D1016</x:f>
        <x:v>0</x:v>
      </x:c>
      <x:c r="L1016" s="13" t="n">
        <x:f>I1016/D1016</x:f>
        <x:v>9.08248730964467</x:v>
      </x:c>
      <x:c r="M1016" s="6" t="str">
        <x:v>Included</x:v>
      </x:c>
    </x:row>
    <x:row r="1017" ht="23" customHeight="1">
      <x:c r="B1017" s="12" t="str">
        <x:v>8204</x:v>
      </x:c>
      <x:c r="C1017" s="6" t="str">
        <x:v>Cedarbrae Mall</x:v>
      </x:c>
      <x:c r="D1017" s="6" t="n">
        <x:v>788</x:v>
      </x:c>
      <x:c r="E1017" s="6" t="n">
        <x:v>788</x:v>
      </x:c>
      <x:c r="F1017" s="6" t="n">
        <x:v>0</x:v>
      </x:c>
      <x:c r="G1017" s="6" t="n">
        <x:v>11</x:v>
      </x:c>
      <x:c r="H1017" s="6" t="n">
        <x:v>114</x:v>
      </x:c>
      <x:c r="I1017" s="6" t="n">
        <x:v>8668</x:v>
      </x:c>
      <x:c r="J1017" s="11" t="n">
        <x:f>E1017/D1017</x:f>
        <x:v>1</x:v>
      </x:c>
      <x:c r="K1017" s="11" t="n">
        <x:f>F1017/D1017</x:f>
        <x:v>0</x:v>
      </x:c>
      <x:c r="L1017" s="13" t="n">
        <x:f>I1017/D1017</x:f>
        <x:v>11</x:v>
      </x:c>
      <x:c r="M1017" s="6" t="str">
        <x:v>Included</x:v>
      </x:c>
    </x:row>
    <x:row r="1018" ht="23" customHeight="1">
      <x:c r="B1018" s="12" t="str">
        <x:v>8205</x:v>
      </x:c>
      <x:c r="C1018" s="6" t="str">
        <x:v>Markham Rd / Blakemanor Blvd</x:v>
      </x:c>
      <x:c r="D1018" s="6" t="n">
        <x:v>780</x:v>
      </x:c>
      <x:c r="E1018" s="6" t="n">
        <x:v>780</x:v>
      </x:c>
      <x:c r="F1018" s="6" t="n">
        <x:v>0</x:v>
      </x:c>
      <x:c r="G1018" s="6" t="n">
        <x:v>11</x:v>
      </x:c>
      <x:c r="H1018" s="6" t="n">
        <x:v>114</x:v>
      </x:c>
      <x:c r="I1018" s="6" t="n">
        <x:v>11162</x:v>
      </x:c>
      <x:c r="J1018" s="11" t="n">
        <x:f>E1018/D1018</x:f>
        <x:v>1</x:v>
      </x:c>
      <x:c r="K1018" s="11" t="n">
        <x:f>F1018/D1018</x:f>
        <x:v>0</x:v>
      </x:c>
      <x:c r="L1018" s="13" t="n">
        <x:f>I1018/D1018</x:f>
        <x:v>14.310256410256411</x:v>
      </x:c>
      <x:c r="M1018" s="6" t="str">
        <x:v>Included</x:v>
      </x:c>
    </x:row>
    <x:row r="1019" ht="23" customHeight="1">
      <x:c r="B1019" s="12" t="str">
        <x:v>8206</x:v>
      </x:c>
      <x:c r="C1019" s="6" t="str">
        <x:v>Richmond St E / Yonge St (2)</x:v>
      </x:c>
      <x:c r="D1019" s="6" t="n">
        <x:v>774</x:v>
      </x:c>
      <x:c r="E1019" s="6" t="n">
        <x:v>745</x:v>
      </x:c>
      <x:c r="F1019" s="6" t="n">
        <x:v>29</x:v>
      </x:c>
      <x:c r="G1019" s="6" t="n">
        <x:v>11</x:v>
      </x:c>
      <x:c r="H1019" s="6" t="n">
        <x:v>113</x:v>
      </x:c>
      <x:c r="I1019" s="6" t="n">
        <x:v>7878</x:v>
      </x:c>
      <x:c r="J1019" s="11" t="n">
        <x:f>E1019/D1019</x:f>
        <x:v>0.962532299741602</x:v>
      </x:c>
      <x:c r="K1019" s="11" t="n">
        <x:f>F1019/D1019</x:f>
        <x:v>0.037467700258397935</x:v>
      </x:c>
      <x:c r="L1019" s="13" t="n">
        <x:f>I1019/D1019</x:f>
        <x:v>10.178294573643411</x:v>
      </x:c>
      <x:c r="M1019" s="6" t="str">
        <x:v>Included</x:v>
      </x:c>
    </x:row>
    <x:row r="1020" ht="23" customHeight="1">
      <x:c r="B1020" s="12" t="str">
        <x:v>8207</x:v>
      </x:c>
      <x:c r="C1020" s="6" t="str">
        <x:v>45 Trudelle St</x:v>
      </x:c>
      <x:c r="D1020" s="6" t="n">
        <x:v>790</x:v>
      </x:c>
      <x:c r="E1020" s="6" t="n">
        <x:v>790</x:v>
      </x:c>
      <x:c r="F1020" s="6" t="n">
        <x:v>0</x:v>
      </x:c>
      <x:c r="G1020" s="6" t="n">
        <x:v>11</x:v>
      </x:c>
      <x:c r="H1020" s="6" t="n">
        <x:v>115</x:v>
      </x:c>
      <x:c r="I1020" s="6" t="n">
        <x:v>6224</x:v>
      </x:c>
      <x:c r="J1020" s="11" t="n">
        <x:f>E1020/D1020</x:f>
        <x:v>1</x:v>
      </x:c>
      <x:c r="K1020" s="11" t="n">
        <x:f>F1020/D1020</x:f>
        <x:v>0</x:v>
      </x:c>
      <x:c r="L1020" s="13" t="n">
        <x:f>I1020/D1020</x:f>
        <x:v>7.878481012658228</x:v>
      </x:c>
      <x:c r="M1020" s="6" t="str">
        <x:v>Included</x:v>
      </x:c>
    </x:row>
    <x:row r="1021" ht="23" customHeight="1">
      <x:c r="B1021" s="12" t="str">
        <x:v>8208</x:v>
      </x:c>
      <x:c r="C1021" s="6" t="str">
        <x:v>Surrey Ave / Victoria Park Ave</x:v>
      </x:c>
      <x:c r="D1021" s="6" t="n">
        <x:v>795</x:v>
      </x:c>
      <x:c r="E1021" s="6" t="n">
        <x:v>795</x:v>
      </x:c>
      <x:c r="F1021" s="6" t="n">
        <x:v>0</x:v>
      </x:c>
      <x:c r="G1021" s="6" t="n">
        <x:v>11</x:v>
      </x:c>
      <x:c r="H1021" s="6" t="n">
        <x:v>115</x:v>
      </x:c>
      <x:c r="I1021" s="6" t="n">
        <x:v>8339</x:v>
      </x:c>
      <x:c r="J1021" s="11" t="n">
        <x:f>E1021/D1021</x:f>
        <x:v>1</x:v>
      </x:c>
      <x:c r="K1021" s="11" t="n">
        <x:f>F1021/D1021</x:f>
        <x:v>0</x:v>
      </x:c>
      <x:c r="L1021" s="13" t="n">
        <x:f>I1021/D1021</x:f>
        <x:v>10.489308176100629</x:v>
      </x:c>
      <x:c r="M1021" s="6" t="str">
        <x:v>Included</x:v>
      </x:c>
    </x:row>
    <x:row r="1022" ht="23" customHeight="1">
      <x:c r="B1022" s="12" t="str">
        <x:v>8209</x:v>
      </x:c>
      <x:c r="C1022" s="6" t="str">
        <x:v>Brimley Rd / Dorcot Ave</x:v>
      </x:c>
      <x:c r="D1022" s="6" t="n">
        <x:v>787</x:v>
      </x:c>
      <x:c r="E1022" s="6" t="n">
        <x:v>787</x:v>
      </x:c>
      <x:c r="F1022" s="6" t="n">
        <x:v>0</x:v>
      </x:c>
      <x:c r="G1022" s="6" t="n">
        <x:v>11</x:v>
      </x:c>
      <x:c r="H1022" s="6" t="n">
        <x:v>114</x:v>
      </x:c>
      <x:c r="I1022" s="6" t="n">
        <x:v>8979</x:v>
      </x:c>
      <x:c r="J1022" s="11" t="n">
        <x:f>E1022/D1022</x:f>
        <x:v>1</x:v>
      </x:c>
      <x:c r="K1022" s="11" t="n">
        <x:f>F1022/D1022</x:f>
        <x:v>0</x:v>
      </x:c>
      <x:c r="L1022" s="13" t="n">
        <x:f>I1022/D1022</x:f>
        <x:v>11.409148665819568</x:v>
      </x:c>
      <x:c r="M1022" s="6" t="str">
        <x:v>Included</x:v>
      </x:c>
    </x:row>
    <x:row r="1023" ht="23" customHeight="1">
      <x:c r="B1023" s="12" t="str">
        <x:v>8210</x:v>
      </x:c>
      <x:c r="C1023" s="6" t="str">
        <x:v>Brimorton Dr / Orton Park Rd</x:v>
      </x:c>
      <x:c r="D1023" s="6" t="n">
        <x:v>793</x:v>
      </x:c>
      <x:c r="E1023" s="6" t="n">
        <x:v>793</x:v>
      </x:c>
      <x:c r="F1023" s="6" t="n">
        <x:v>0</x:v>
      </x:c>
      <x:c r="G1023" s="6" t="n">
        <x:v>11</x:v>
      </x:c>
      <x:c r="H1023" s="6" t="n">
        <x:v>114</x:v>
      </x:c>
      <x:c r="I1023" s="6" t="n">
        <x:v>6026</x:v>
      </x:c>
      <x:c r="J1023" s="11" t="n">
        <x:f>E1023/D1023</x:f>
        <x:v>1</x:v>
      </x:c>
      <x:c r="K1023" s="11" t="n">
        <x:f>F1023/D1023</x:f>
        <x:v>0</x:v>
      </x:c>
      <x:c r="L1023" s="13" t="n">
        <x:f>I1023/D1023</x:f>
        <x:v>7.598991172761664</x:v>
      </x:c>
      <x:c r="M1023" s="6" t="str">
        <x:v>Included</x:v>
      </x:c>
    </x:row>
    <x:row r="1024" ht="23" customHeight="1">
      <x:c r="B1024" s="12" t="str">
        <x:v>8211</x:v>
      </x:c>
      <x:c r="C1024" s="6" t="str">
        <x:v>Guildwood Pkwy / Kingston Rd</x:v>
      </x:c>
      <x:c r="D1024" s="6" t="n">
        <x:v>787</x:v>
      </x:c>
      <x:c r="E1024" s="6" t="n">
        <x:v>787</x:v>
      </x:c>
      <x:c r="F1024" s="6" t="n">
        <x:v>0</x:v>
      </x:c>
      <x:c r="G1024" s="6" t="n">
        <x:v>11</x:v>
      </x:c>
      <x:c r="H1024" s="6" t="n">
        <x:v>114</x:v>
      </x:c>
      <x:c r="I1024" s="6" t="n">
        <x:v>6249</x:v>
      </x:c>
      <x:c r="J1024" s="11" t="n">
        <x:f>E1024/D1024</x:f>
        <x:v>1</x:v>
      </x:c>
      <x:c r="K1024" s="11" t="n">
        <x:f>F1024/D1024</x:f>
        <x:v>0</x:v>
      </x:c>
      <x:c r="L1024" s="13" t="n">
        <x:f>I1024/D1024</x:f>
        <x:v>7.940279542566709</x:v>
      </x:c>
      <x:c r="M1024" s="6" t="str">
        <x:v>Included</x:v>
      </x:c>
    </x:row>
    <x:row r="1025" ht="23" customHeight="1">
      <x:c r="B1025" s="12" t="str">
        <x:v>8212</x:v>
      </x:c>
      <x:c r="C1025" s="6" t="str">
        <x:v>9 Emerson Ave</x:v>
      </x:c>
      <x:c r="D1025" s="6" t="n">
        <x:v>793</x:v>
      </x:c>
      <x:c r="E1025" s="6" t="n">
        <x:v>759</x:v>
      </x:c>
      <x:c r="F1025" s="6" t="n">
        <x:v>34</x:v>
      </x:c>
      <x:c r="G1025" s="6" t="n">
        <x:v>11</x:v>
      </x:c>
      <x:c r="H1025" s="6" t="n">
        <x:v>115</x:v>
      </x:c>
      <x:c r="I1025" s="6" t="n">
        <x:v>10367</x:v>
      </x:c>
      <x:c r="J1025" s="11" t="n">
        <x:f>E1025/D1025</x:f>
        <x:v>0.957124842370744</x:v>
      </x:c>
      <x:c r="K1025" s="11" t="n">
        <x:f>F1025/D1025</x:f>
        <x:v>0.04287515762925599</x:v>
      </x:c>
      <x:c r="L1025" s="13" t="n">
        <x:f>I1025/D1025</x:f>
        <x:v>13.07313997477932</x:v>
      </x:c>
      <x:c r="M1025" s="6" t="str">
        <x:v>Included</x:v>
      </x:c>
    </x:row>
    <x:row r="1026" ht="23" customHeight="1">
      <x:c r="B1026" s="12" t="str">
        <x:v>8213</x:v>
      </x:c>
      <x:c r="C1026" s="6" t="str">
        <x:v>Yonge St / College St</x:v>
      </x:c>
      <x:c r="D1026" s="6" t="n">
        <x:v>789</x:v>
      </x:c>
      <x:c r="E1026" s="6" t="n">
        <x:v>789</x:v>
      </x:c>
      <x:c r="F1026" s="6" t="n">
        <x:v>0</x:v>
      </x:c>
      <x:c r="G1026" s="6" t="n">
        <x:v>11</x:v>
      </x:c>
      <x:c r="H1026" s="6" t="n">
        <x:v>114</x:v>
      </x:c>
      <x:c r="I1026" s="6" t="n">
        <x:v>11249</x:v>
      </x:c>
      <x:c r="J1026" s="11" t="n">
        <x:f>E1026/D1026</x:f>
        <x:v>1</x:v>
      </x:c>
      <x:c r="K1026" s="11" t="n">
        <x:f>F1026/D1026</x:f>
        <x:v>0</x:v>
      </x:c>
      <x:c r="L1026" s="13" t="n">
        <x:f>I1026/D1026</x:f>
        <x:v>14.257287705956907</x:v>
      </x:c>
      <x:c r="M1026" s="6" t="str">
        <x:v>Included</x:v>
      </x:c>
    </x:row>
    <x:row r="1027" ht="23" customHeight="1">
      <x:c r="B1027" s="12" t="str">
        <x:v>8214</x:v>
      </x:c>
      <x:c r="C1027" s="6" t="str">
        <x:v>Lansdowne Ave / Dupont St</x:v>
      </x:c>
      <x:c r="D1027" s="6" t="n">
        <x:v>783</x:v>
      </x:c>
      <x:c r="E1027" s="6" t="n">
        <x:v>704</x:v>
      </x:c>
      <x:c r="F1027" s="6" t="n">
        <x:v>79</x:v>
      </x:c>
      <x:c r="G1027" s="6" t="n">
        <x:v>11</x:v>
      </x:c>
      <x:c r="H1027" s="6" t="n">
        <x:v>114</x:v>
      </x:c>
      <x:c r="I1027" s="6" t="n">
        <x:v>5381</x:v>
      </x:c>
      <x:c r="J1027" s="11" t="n">
        <x:f>E1027/D1027</x:f>
        <x:v>0.8991060025542784</x:v>
      </x:c>
      <x:c r="K1027" s="11" t="n">
        <x:f>F1027/D1027</x:f>
        <x:v>0.10089399744572158</x:v>
      </x:c>
      <x:c r="L1027" s="13" t="n">
        <x:f>I1027/D1027</x:f>
        <x:v>6.872286079182631</x:v>
      </x:c>
      <x:c r="M1027" s="6" t="str">
        <x:v>Included</x:v>
      </x:c>
    </x:row>
    <x:row r="1028" ht="23" customHeight="1">
      <x:c r="B1028" s="12" t="str">
        <x:v>8215</x:v>
      </x:c>
      <x:c r="C1028" s="6" t="str">
        <x:v>Dundas St W / McCaul St</x:v>
      </x:c>
      <x:c r="D1028" s="6" t="n">
        <x:v>793</x:v>
      </x:c>
      <x:c r="E1028" s="6" t="n">
        <x:v>774</x:v>
      </x:c>
      <x:c r="F1028" s="6" t="n">
        <x:v>19</x:v>
      </x:c>
      <x:c r="G1028" s="6" t="n">
        <x:v>11</x:v>
      </x:c>
      <x:c r="H1028" s="6" t="n">
        <x:v>114</x:v>
      </x:c>
      <x:c r="I1028" s="6" t="n">
        <x:v>9173</x:v>
      </x:c>
      <x:c r="J1028" s="11" t="n">
        <x:f>E1028/D1028</x:f>
        <x:v>0.9760403530895334</x:v>
      </x:c>
      <x:c r="K1028" s="11" t="n">
        <x:f>F1028/D1028</x:f>
        <x:v>0.02395964691046658</x:v>
      </x:c>
      <x:c r="L1028" s="13" t="n">
        <x:f>I1028/D1028</x:f>
        <x:v>11.567465321563683</x:v>
      </x:c>
      <x:c r="M1028" s="6" t="str">
        <x:v>Included</x:v>
      </x:c>
    </x:row>
    <x:row r="1029" ht="23" customHeight="1">
      <x:c r="B1029" s="12" t="str">
        <x:v>8216</x:v>
      </x:c>
      <x:c r="C1029" s="6" t="str">
        <x:v>Davenport Rd / Dovercourt Rd</x:v>
      </x:c>
      <x:c r="D1029" s="6" t="n">
        <x:v>787</x:v>
      </x:c>
      <x:c r="E1029" s="6" t="n">
        <x:v>785</x:v>
      </x:c>
      <x:c r="F1029" s="6" t="n">
        <x:v>2</x:v>
      </x:c>
      <x:c r="G1029" s="6" t="n">
        <x:v>11</x:v>
      </x:c>
      <x:c r="H1029" s="6" t="n">
        <x:v>115</x:v>
      </x:c>
      <x:c r="I1029" s="6" t="n">
        <x:v>9114</x:v>
      </x:c>
      <x:c r="J1029" s="11" t="n">
        <x:f>E1029/D1029</x:f>
        <x:v>0.9974587039390089</x:v>
      </x:c>
      <x:c r="K1029" s="11" t="n">
        <x:f>F1029/D1029</x:f>
        <x:v>0.0025412960609911056</x:v>
      </x:c>
      <x:c r="L1029" s="13" t="n">
        <x:f>I1029/D1029</x:f>
        <x:v>11.580686149936467</x:v>
      </x:c>
      <x:c r="M1029" s="6" t="str">
        <x:v>Included</x:v>
      </x:c>
    </x:row>
    <x:row r="1030" ht="23" customHeight="1">
      <x:c r="B1030" s="12" t="str">
        <x:v>8217</x:v>
      </x:c>
      <x:c r="C1030" s="6" t="str">
        <x:v>Lawrence Ave E / Don Mills Rd</x:v>
      </x:c>
      <x:c r="D1030" s="6" t="n">
        <x:v>784</x:v>
      </x:c>
      <x:c r="E1030" s="6" t="n">
        <x:v>784</x:v>
      </x:c>
      <x:c r="F1030" s="6" t="n">
        <x:v>0</x:v>
      </x:c>
      <x:c r="G1030" s="6" t="n">
        <x:v>11</x:v>
      </x:c>
      <x:c r="H1030" s="6" t="n">
        <x:v>115</x:v>
      </x:c>
      <x:c r="I1030" s="6" t="n">
        <x:v>8131</x:v>
      </x:c>
      <x:c r="J1030" s="11" t="n">
        <x:f>E1030/D1030</x:f>
        <x:v>1</x:v>
      </x:c>
      <x:c r="K1030" s="11" t="n">
        <x:f>F1030/D1030</x:f>
        <x:v>0</x:v>
      </x:c>
      <x:c r="L1030" s="13" t="n">
        <x:f>I1030/D1030</x:f>
        <x:v>10.371173469387756</x:v>
      </x:c>
      <x:c r="M1030" s="6" t="str">
        <x:v>Included</x:v>
      </x:c>
    </x:row>
    <x:row r="1031" ht="23" customHeight="1">
      <x:c r="B1031" s="12" t="str">
        <x:v>8218</x:v>
      </x:c>
      <x:c r="C1031" s="6" t="str">
        <x:v>Bessarion Rd / Sheppard Ave E</x:v>
      </x:c>
      <x:c r="D1031" s="6" t="n">
        <x:v>781</x:v>
      </x:c>
      <x:c r="E1031" s="6" t="n">
        <x:v>675</x:v>
      </x:c>
      <x:c r="F1031" s="6" t="n">
        <x:v>106</x:v>
      </x:c>
      <x:c r="G1031" s="6" t="n">
        <x:v>11</x:v>
      </x:c>
      <x:c r="H1031" s="6" t="n">
        <x:v>114</x:v>
      </x:c>
      <x:c r="I1031" s="6" t="n">
        <x:v>2263</x:v>
      </x:c>
      <x:c r="J1031" s="11" t="n">
        <x:f>E1031/D1031</x:f>
        <x:v>0.8642765685019206</x:v>
      </x:c>
      <x:c r="K1031" s="11" t="n">
        <x:f>F1031/D1031</x:f>
        <x:v>0.1357234314980794</x:v>
      </x:c>
      <x:c r="L1031" s="13" t="n">
        <x:f>I1031/D1031</x:f>
        <x:v>2.8975672215108834</x:v>
      </x:c>
      <x:c r="M1031" s="6" t="str">
        <x:v>Included</x:v>
      </x:c>
    </x:row>
    <x:row r="1032" ht="23" customHeight="1">
      <x:c r="B1032" s="12" t="str">
        <x:v>8219</x:v>
      </x:c>
      <x:c r="C1032" s="6" t="str">
        <x:v>Kennedy Station</x:v>
      </x:c>
      <x:c r="D1032" s="6" t="n">
        <x:v>782</x:v>
      </x:c>
      <x:c r="E1032" s="6" t="n">
        <x:v>782</x:v>
      </x:c>
      <x:c r="F1032" s="6" t="n">
        <x:v>0</x:v>
      </x:c>
      <x:c r="G1032" s="6" t="n">
        <x:v>11</x:v>
      </x:c>
      <x:c r="H1032" s="6" t="n">
        <x:v>115</x:v>
      </x:c>
      <x:c r="I1032" s="6" t="n">
        <x:v>13216</x:v>
      </x:c>
      <x:c r="J1032" s="11" t="n">
        <x:f>E1032/D1032</x:f>
        <x:v>1</x:v>
      </x:c>
      <x:c r="K1032" s="11" t="n">
        <x:f>F1032/D1032</x:f>
        <x:v>0</x:v>
      </x:c>
      <x:c r="L1032" s="13" t="n">
        <x:f>I1032/D1032</x:f>
        <x:v>16.900255754475705</x:v>
      </x:c>
      <x:c r="M1032" s="6" t="str">
        <x:v>Included</x:v>
      </x:c>
    </x:row>
    <x:row r="1033" ht="23" customHeight="1">
      <x:c r="B1033" s="12" t="str">
        <x:v>8220</x:v>
      </x:c>
      <x:c r="C1033" s="6" t="str">
        <x:v>Heron Park Community Centre</x:v>
      </x:c>
      <x:c r="D1033" s="6" t="n">
        <x:v>793</x:v>
      </x:c>
      <x:c r="E1033" s="6" t="n">
        <x:v>793</x:v>
      </x:c>
      <x:c r="F1033" s="6" t="n">
        <x:v>0</x:v>
      </x:c>
      <x:c r="G1033" s="6" t="n">
        <x:v>11</x:v>
      </x:c>
      <x:c r="H1033" s="6" t="n">
        <x:v>114</x:v>
      </x:c>
      <x:c r="I1033" s="6" t="n">
        <x:v>6093</x:v>
      </x:c>
      <x:c r="J1033" s="11" t="n">
        <x:f>E1033/D1033</x:f>
        <x:v>1</x:v>
      </x:c>
      <x:c r="K1033" s="11" t="n">
        <x:f>F1033/D1033</x:f>
        <x:v>0</x:v>
      </x:c>
      <x:c r="L1033" s="13" t="n">
        <x:f>I1033/D1033</x:f>
        <x:v>7.683480453972257</x:v>
      </x:c>
      <x:c r="M1033" s="6" t="str">
        <x:v>Included</x:v>
      </x:c>
    </x:row>
    <x:row r="1034" ht="23" customHeight="1">
      <x:c r="B1034" s="12" t="str">
        <x:v>8221</x:v>
      </x:c>
      <x:c r="C1034" s="6" t="str">
        <x:v>Ling Rd / Lawrence Ave E</x:v>
      </x:c>
      <x:c r="D1034" s="6" t="n">
        <x:v>788</x:v>
      </x:c>
      <x:c r="E1034" s="6" t="n">
        <x:v>788</x:v>
      </x:c>
      <x:c r="F1034" s="6" t="n">
        <x:v>0</x:v>
      </x:c>
      <x:c r="G1034" s="6" t="n">
        <x:v>11</x:v>
      </x:c>
      <x:c r="H1034" s="6" t="n">
        <x:v>114</x:v>
      </x:c>
      <x:c r="I1034" s="6" t="n">
        <x:v>6967</x:v>
      </x:c>
      <x:c r="J1034" s="11" t="n">
        <x:f>E1034/D1034</x:f>
        <x:v>1</x:v>
      </x:c>
      <x:c r="K1034" s="11" t="n">
        <x:f>F1034/D1034</x:f>
        <x:v>0</x:v>
      </x:c>
      <x:c r="L1034" s="13" t="n">
        <x:f>I1034/D1034</x:f>
        <x:v>8.841370558375635</x:v>
      </x:c>
      <x:c r="M1034" s="6" t="str">
        <x:v>Included</x:v>
      </x:c>
    </x:row>
    <x:row r="1035" ht="23" customHeight="1">
      <x:c r="B1035" s="12" t="str">
        <x:v>8224</x:v>
      </x:c>
      <x:c r="C1035" s="6" t="str">
        <x:v>439 Wellington St W</x:v>
      </x:c>
      <x:c r="D1035" s="6" t="n">
        <x:v>789</x:v>
      </x:c>
      <x:c r="E1035" s="6" t="n">
        <x:v>634</x:v>
      </x:c>
      <x:c r="F1035" s="6" t="n">
        <x:v>155</x:v>
      </x:c>
      <x:c r="G1035" s="6" t="n">
        <x:v>11</x:v>
      </x:c>
      <x:c r="H1035" s="6" t="n">
        <x:v>115</x:v>
      </x:c>
      <x:c r="I1035" s="6" t="n">
        <x:v>5289</x:v>
      </x:c>
      <x:c r="J1035" s="11" t="n">
        <x:f>E1035/D1035</x:f>
        <x:v>0.8035487959442332</x:v>
      </x:c>
      <x:c r="K1035" s="11" t="n">
        <x:f>F1035/D1035</x:f>
        <x:v>0.1964512040557668</x:v>
      </x:c>
      <x:c r="L1035" s="13" t="n">
        <x:f>I1035/D1035</x:f>
        <x:v>6.7034220532319395</x:v>
      </x:c>
      <x:c r="M1035" s="6" t="str">
        <x:v>Included</x:v>
      </x:c>
    </x:row>
    <x:row r="1036" ht="23" customHeight="1">
      <x:c r="B1036" s="12" t="str">
        <x:v>8225</x:v>
      </x:c>
      <x:c r="C1036" s="6" t="str">
        <x:v>Ellesmere Rd / Highland Creek Trail</x:v>
      </x:c>
      <x:c r="D1036" s="6" t="n">
        <x:v>786</x:v>
      </x:c>
      <x:c r="E1036" s="6" t="n">
        <x:v>786</x:v>
      </x:c>
      <x:c r="F1036" s="6" t="n">
        <x:v>0</x:v>
      </x:c>
      <x:c r="G1036" s="6" t="n">
        <x:v>11</x:v>
      </x:c>
      <x:c r="H1036" s="6" t="n">
        <x:v>114</x:v>
      </x:c>
      <x:c r="I1036" s="6" t="n">
        <x:v>5915</x:v>
      </x:c>
      <x:c r="J1036" s="11" t="n">
        <x:f>E1036/D1036</x:f>
        <x:v>1</x:v>
      </x:c>
      <x:c r="K1036" s="11" t="n">
        <x:f>F1036/D1036</x:f>
        <x:v>0</x:v>
      </x:c>
      <x:c r="L1036" s="13" t="n">
        <x:f>I1036/D1036</x:f>
        <x:v>7.525445292620865</x:v>
      </x:c>
      <x:c r="M1036" s="6" t="str">
        <x:v>Included</x:v>
      </x:c>
    </x:row>
    <x:row r="1037" ht="23" customHeight="1">
      <x:c r="B1037" s="12" t="str">
        <x:v>8226</x:v>
      </x:c>
      <x:c r="C1037" s="6" t="str">
        <x:v>O'Connor Dr / Dohme Ave</x:v>
      </x:c>
      <x:c r="D1037" s="6" t="n">
        <x:v>787</x:v>
      </x:c>
      <x:c r="E1037" s="6" t="n">
        <x:v>787</x:v>
      </x:c>
      <x:c r="F1037" s="6" t="n">
        <x:v>0</x:v>
      </x:c>
      <x:c r="G1037" s="6" t="n">
        <x:v>11</x:v>
      </x:c>
      <x:c r="H1037" s="6" t="n">
        <x:v>114</x:v>
      </x:c>
      <x:c r="I1037" s="6" t="n">
        <x:v>10630</x:v>
      </x:c>
      <x:c r="J1037" s="11" t="n">
        <x:f>E1037/D1037</x:f>
        <x:v>1</x:v>
      </x:c>
      <x:c r="K1037" s="11" t="n">
        <x:f>F1037/D1037</x:f>
        <x:v>0</x:v>
      </x:c>
      <x:c r="L1037" s="13" t="n">
        <x:f>I1037/D1037</x:f>
        <x:v>13.506988564167726</x:v>
      </x:c>
      <x:c r="M1037" s="6" t="str">
        <x:v>Included</x:v>
      </x:c>
    </x:row>
    <x:row r="1038" ht="23" customHeight="1">
      <x:c r="B1038" s="12" t="str">
        <x:v>8227</x:v>
      </x:c>
      <x:c r="C1038" s="6" t="str">
        <x:v>Keele St / Ewart Ave</x:v>
      </x:c>
      <x:c r="D1038" s="6" t="n">
        <x:v>791</x:v>
      </x:c>
      <x:c r="E1038" s="6" t="n">
        <x:v>712</x:v>
      </x:c>
      <x:c r="F1038" s="6" t="n">
        <x:v>79</x:v>
      </x:c>
      <x:c r="G1038" s="6" t="n">
        <x:v>11</x:v>
      </x:c>
      <x:c r="H1038" s="6" t="n">
        <x:v>114</x:v>
      </x:c>
      <x:c r="I1038" s="6" t="n">
        <x:v>3124</x:v>
      </x:c>
      <x:c r="J1038" s="11" t="n">
        <x:f>E1038/D1038</x:f>
        <x:v>0.900126422250316</x:v>
      </x:c>
      <x:c r="K1038" s="11" t="n">
        <x:f>F1038/D1038</x:f>
        <x:v>0.09987357774968394</x:v>
      </x:c>
      <x:c r="L1038" s="13" t="n">
        <x:f>I1038/D1038</x:f>
        <x:v>3.9494310998735775</x:v>
      </x:c>
      <x:c r="M1038" s="6" t="str">
        <x:v>Included</x:v>
      </x:c>
    </x:row>
    <x:row r="1039" ht="23" customHeight="1">
      <x:c r="B1039" s="12" t="str">
        <x:v>8228</x:v>
      </x:c>
      <x:c r="C1039" s="6" t="str">
        <x:v>Centre Island Beach</x:v>
      </x:c>
      <x:c r="D1039" s="6" t="n">
        <x:v>792</x:v>
      </x:c>
      <x:c r="E1039" s="6" t="n">
        <x:v>792</x:v>
      </x:c>
      <x:c r="F1039" s="6" t="n">
        <x:v>0</x:v>
      </x:c>
      <x:c r="G1039" s="6" t="n">
        <x:v>11</x:v>
      </x:c>
      <x:c r="H1039" s="6" t="n">
        <x:v>114</x:v>
      </x:c>
      <x:c r="I1039" s="6" t="n">
        <x:v>18924</x:v>
      </x:c>
      <x:c r="J1039" s="11" t="n">
        <x:f>E1039/D1039</x:f>
        <x:v>1</x:v>
      </x:c>
      <x:c r="K1039" s="11" t="n">
        <x:f>F1039/D1039</x:f>
        <x:v>0</x:v>
      </x:c>
      <x:c r="L1039" s="13" t="n">
        <x:f>I1039/D1039</x:f>
        <x:v>23.893939393939394</x:v>
      </x:c>
      <x:c r="M1039" s="6" t="str">
        <x:v>Included</x:v>
      </x:c>
    </x:row>
    <x:row r="1040" ht="23" customHeight="1">
      <x:c r="B1040" s="12" t="str">
        <x:v>8229</x:v>
      </x:c>
      <x:c r="C1040" s="6" t="str">
        <x:v>Hanlan's Point Beach (Entrance 5)</x:v>
      </x:c>
      <x:c r="D1040" s="6" t="n">
        <x:v>794</x:v>
      </x:c>
      <x:c r="E1040" s="6" t="n">
        <x:v>794</x:v>
      </x:c>
      <x:c r="F1040" s="6" t="n">
        <x:v>0</x:v>
      </x:c>
      <x:c r="G1040" s="6" t="n">
        <x:v>11</x:v>
      </x:c>
      <x:c r="H1040" s="6" t="n">
        <x:v>114</x:v>
      </x:c>
      <x:c r="I1040" s="6" t="n">
        <x:v>15339</x:v>
      </x:c>
      <x:c r="J1040" s="11" t="n">
        <x:f>E1040/D1040</x:f>
        <x:v>1</x:v>
      </x:c>
      <x:c r="K1040" s="11" t="n">
        <x:f>F1040/D1040</x:f>
        <x:v>0</x:v>
      </x:c>
      <x:c r="L1040" s="13" t="n">
        <x:f>I1040/D1040</x:f>
        <x:v>19.318639798488665</x:v>
      </x:c>
      <x:c r="M1040" s="6" t="str">
        <x:v>Included</x:v>
      </x:c>
    </x:row>
    <x:row r="1041" ht="23" customHeight="1">
      <x:c r="B1041" s="12" t="str">
        <x:v>8230</x:v>
      </x:c>
      <x:c r="C1041" s="6" t="str">
        <x:v>Aitken Place Park</x:v>
      </x:c>
      <x:c r="D1041" s="6" t="n">
        <x:v>780</x:v>
      </x:c>
      <x:c r="E1041" s="6" t="n">
        <x:v>714</x:v>
      </x:c>
      <x:c r="F1041" s="6" t="n">
        <x:v>66</x:v>
      </x:c>
      <x:c r="G1041" s="6" t="n">
        <x:v>11</x:v>
      </x:c>
      <x:c r="H1041" s="6" t="n">
        <x:v>115</x:v>
      </x:c>
      <x:c r="I1041" s="6" t="n">
        <x:v>8340</x:v>
      </x:c>
      <x:c r="J1041" s="11" t="n">
        <x:f>E1041/D1041</x:f>
        <x:v>0.9153846153846154</x:v>
      </x:c>
      <x:c r="K1041" s="11" t="n">
        <x:f>F1041/D1041</x:f>
        <x:v>0.08461538461538462</x:v>
      </x:c>
      <x:c r="L1041" s="13" t="n">
        <x:f>I1041/D1041</x:f>
        <x:v>10.692307692307692</x:v>
      </x:c>
      <x:c r="M1041" s="6" t="str">
        <x:v>Included</x:v>
      </x:c>
    </x:row>
    <x:row r="1042" ht="23" customHeight="1">
      <x:c r="B1042" s="12" t="str">
        <x:v>8231</x:v>
      </x:c>
      <x:c r="C1042" s="6" t="str">
        <x:v>Fort York Blvd / Angelique St (North Side)</x:v>
      </x:c>
      <x:c r="D1042" s="6" t="n">
        <x:v>784</x:v>
      </x:c>
      <x:c r="E1042" s="6" t="n">
        <x:v>551</x:v>
      </x:c>
      <x:c r="F1042" s="6" t="n">
        <x:v>233</x:v>
      </x:c>
      <x:c r="G1042" s="6" t="n">
        <x:v>11</x:v>
      </x:c>
      <x:c r="H1042" s="6" t="n">
        <x:v>114</x:v>
      </x:c>
      <x:c r="I1042" s="6" t="n">
        <x:v>5585</x:v>
      </x:c>
      <x:c r="J1042" s="11" t="n">
        <x:f>E1042/D1042</x:f>
        <x:v>0.7028061224489796</x:v>
      </x:c>
      <x:c r="K1042" s="11" t="n">
        <x:f>F1042/D1042</x:f>
        <x:v>0.2971938775510204</x:v>
      </x:c>
      <x:c r="L1042" s="13" t="n">
        <x:f>I1042/D1042</x:f>
        <x:v>7.123724489795919</x:v>
      </x:c>
      <x:c r="M1042" s="6" t="str">
        <x:v>Included</x:v>
      </x:c>
    </x:row>
    <x:row r="1043" ht="23" customHeight="1">
      <x:c r="B1043" s="12" t="str">
        <x:v>8232</x:v>
      </x:c>
      <x:c r="C1043" s="6" t="str">
        <x:v>Fort York Blvd/ Iannuzzi St</x:v>
      </x:c>
      <x:c r="D1043" s="6" t="n">
        <x:v>780</x:v>
      </x:c>
      <x:c r="E1043" s="6" t="n">
        <x:v>624</x:v>
      </x:c>
      <x:c r="F1043" s="6" t="n">
        <x:v>156</x:v>
      </x:c>
      <x:c r="G1043" s="6" t="n">
        <x:v>11</x:v>
      </x:c>
      <x:c r="H1043" s="6" t="n">
        <x:v>115</x:v>
      </x:c>
      <x:c r="I1043" s="6" t="n">
        <x:v>5469</x:v>
      </x:c>
      <x:c r="J1043" s="11" t="n">
        <x:f>E1043/D1043</x:f>
        <x:v>0.8</x:v>
      </x:c>
      <x:c r="K1043" s="11" t="n">
        <x:f>F1043/D1043</x:f>
        <x:v>0.2</x:v>
      </x:c>
      <x:c r="L1043" s="13" t="n">
        <x:f>I1043/D1043</x:f>
        <x:v>7.0115384615384615</x:v>
      </x:c>
      <x:c r="M1043" s="6" t="str">
        <x:v>Included</x:v>
      </x:c>
    </x:row>
    <x:row r="1044" ht="23" customHeight="1">
      <x:c r="B1044" s="12" t="str">
        <x:v>8234</x:v>
      </x:c>
      <x:c r="C1044" s="6" t="str">
        <x:v>Mount Dennis Station</x:v>
      </x:c>
      <x:c r="D1044" s="6" t="n">
        <x:v>785</x:v>
      </x:c>
      <x:c r="E1044" s="6" t="n">
        <x:v>785</x:v>
      </x:c>
      <x:c r="F1044" s="6" t="n">
        <x:v>0</x:v>
      </x:c>
      <x:c r="G1044" s="6" t="n">
        <x:v>11</x:v>
      </x:c>
      <x:c r="H1044" s="6" t="n">
        <x:v>114</x:v>
      </x:c>
      <x:c r="I1044" s="6" t="n">
        <x:v>12385</x:v>
      </x:c>
      <x:c r="J1044" s="11" t="n">
        <x:f>E1044/D1044</x:f>
        <x:v>1</x:v>
      </x:c>
      <x:c r="K1044" s="11" t="n">
        <x:f>F1044/D1044</x:f>
        <x:v>0</x:v>
      </x:c>
      <x:c r="L1044" s="13" t="n">
        <x:f>I1044/D1044</x:f>
        <x:v>15.777070063694268</x:v>
      </x:c>
      <x:c r="M1044" s="6" t="str">
        <x:v>Included</x:v>
      </x:c>
    </x:row>
    <x:row r="1045" ht="23" customHeight="1">
      <x:c r="B1045" s="12" t="str">
        <x:v>8235</x:v>
      </x:c>
      <x:c r="C1045" s="6" t="str">
        <x:v>Dupont St / Ossington Ave</x:v>
      </x:c>
      <x:c r="D1045" s="6" t="n">
        <x:v>784</x:v>
      </x:c>
      <x:c r="E1045" s="6" t="n">
        <x:v>776</x:v>
      </x:c>
      <x:c r="F1045" s="6" t="n">
        <x:v>8</x:v>
      </x:c>
      <x:c r="G1045" s="6" t="n">
        <x:v>11</x:v>
      </x:c>
      <x:c r="H1045" s="6" t="n">
        <x:v>114</x:v>
      </x:c>
      <x:c r="I1045" s="6" t="n">
        <x:v>8512</x:v>
      </x:c>
      <x:c r="J1045" s="11" t="n">
        <x:f>E1045/D1045</x:f>
        <x:v>0.9897959183673469</x:v>
      </x:c>
      <x:c r="K1045" s="11" t="n">
        <x:f>F1045/D1045</x:f>
        <x:v>0.01020408163265306</x:v>
      </x:c>
      <x:c r="L1045" s="13" t="n">
        <x:f>I1045/D1045</x:f>
        <x:v>10.857142857142858</x:v>
      </x:c>
      <x:c r="M1045" s="6" t="str">
        <x:v>Included</x:v>
      </x:c>
    </x:row>
    <x:row r="1046" ht="23" customHeight="1">
      <x:c r="B1046" s="12" t="str">
        <x:v>8236</x:v>
      </x:c>
      <x:c r="C1046" s="6" t="str">
        <x:v>Rolling Mill Rd / Front St E</x:v>
      </x:c>
      <x:c r="D1046" s="6" t="n">
        <x:v>791</x:v>
      </x:c>
      <x:c r="E1046" s="6" t="n">
        <x:v>631</x:v>
      </x:c>
      <x:c r="F1046" s="6" t="n">
        <x:v>160</x:v>
      </x:c>
      <x:c r="G1046" s="6" t="n">
        <x:v>11</x:v>
      </x:c>
      <x:c r="H1046" s="6" t="n">
        <x:v>114</x:v>
      </x:c>
      <x:c r="I1046" s="6" t="n">
        <x:v>4766</x:v>
      </x:c>
      <x:c r="J1046" s="11" t="n">
        <x:f>E1046/D1046</x:f>
        <x:v>0.797724399494311</x:v>
      </x:c>
      <x:c r="K1046" s="11" t="n">
        <x:f>F1046/D1046</x:f>
        <x:v>0.202275600505689</x:v>
      </x:c>
      <x:c r="L1046" s="13" t="n">
        <x:f>I1046/D1046</x:f>
        <x:v>6.025284450063211</x:v>
      </x:c>
      <x:c r="M1046" s="6" t="str">
        <x:v>Included</x:v>
      </x:c>
    </x:row>
    <x:row r="1047" ht="23" customHeight="1">
      <x:c r="B1047" s="12" t="str">
        <x:v>8237</x:v>
      </x:c>
      <x:c r="C1047" s="6" t="str">
        <x:v>King St E / Victoria St (2)</x:v>
      </x:c>
      <x:c r="D1047" s="6" t="n">
        <x:v>788</x:v>
      </x:c>
      <x:c r="E1047" s="6" t="n">
        <x:v>761</x:v>
      </x:c>
      <x:c r="F1047" s="6" t="n">
        <x:v>27</x:v>
      </x:c>
      <x:c r="G1047" s="6" t="n">
        <x:v>11</x:v>
      </x:c>
      <x:c r="H1047" s="6" t="n">
        <x:v>115</x:v>
      </x:c>
      <x:c r="I1047" s="6" t="n">
        <x:v>9753</x:v>
      </x:c>
      <x:c r="J1047" s="11" t="n">
        <x:f>E1047/D1047</x:f>
        <x:v>0.9657360406091371</x:v>
      </x:c>
      <x:c r="K1047" s="11" t="n">
        <x:f>F1047/D1047</x:f>
        <x:v>0.03426395939086294</x:v>
      </x:c>
      <x:c r="L1047" s="13" t="n">
        <x:f>I1047/D1047</x:f>
        <x:v>12.376903553299492</x:v>
      </x:c>
      <x:c r="M1047" s="6" t="str">
        <x:v>Included</x:v>
      </x:c>
    </x:row>
    <x:row r="1048" ht="23" customHeight="1">
      <x:c r="B1048" s="12" t="str">
        <x:v>8238</x:v>
      </x:c>
      <x:c r="C1048" s="6" t="str">
        <x:v>Rosewell Ave / Cheritan Ave</x:v>
      </x:c>
      <x:c r="D1048" s="6" t="n">
        <x:v>788</x:v>
      </x:c>
      <x:c r="E1048" s="6" t="n">
        <x:v>788</x:v>
      </x:c>
      <x:c r="F1048" s="6" t="n">
        <x:v>0</x:v>
      </x:c>
      <x:c r="G1048" s="6" t="n">
        <x:v>11</x:v>
      </x:c>
      <x:c r="H1048" s="6" t="n">
        <x:v>116</x:v>
      </x:c>
      <x:c r="I1048" s="6" t="n">
        <x:v>9608</x:v>
      </x:c>
      <x:c r="J1048" s="11" t="n">
        <x:f>E1048/D1048</x:f>
        <x:v>1</x:v>
      </x:c>
      <x:c r="K1048" s="11" t="n">
        <x:f>F1048/D1048</x:f>
        <x:v>0</x:v>
      </x:c>
      <x:c r="L1048" s="13" t="n">
        <x:f>I1048/D1048</x:f>
        <x:v>12.192893401015228</x:v>
      </x:c>
      <x:c r="M1048" s="6" t="str">
        <x:v>Included</x:v>
      </x:c>
    </x:row>
    <x:row r="1049" ht="23" customHeight="1">
      <x:c r="B1049" s="12" t="str">
        <x:v>8239</x:v>
      </x:c>
      <x:c r="C1049" s="6" t="str">
        <x:v>Playfair Ave / Dufferin St</x:v>
      </x:c>
      <x:c r="D1049" s="6" t="n">
        <x:v>784</x:v>
      </x:c>
      <x:c r="E1049" s="6" t="n">
        <x:v>784</x:v>
      </x:c>
      <x:c r="F1049" s="6" t="n">
        <x:v>0</x:v>
      </x:c>
      <x:c r="G1049" s="6" t="n">
        <x:v>11</x:v>
      </x:c>
      <x:c r="H1049" s="6" t="n">
        <x:v>113</x:v>
      </x:c>
      <x:c r="I1049" s="6" t="n">
        <x:v>7115</x:v>
      </x:c>
      <x:c r="J1049" s="11" t="n">
        <x:f>E1049/D1049</x:f>
        <x:v>1</x:v>
      </x:c>
      <x:c r="K1049" s="11" t="n">
        <x:f>F1049/D1049</x:f>
        <x:v>0</x:v>
      </x:c>
      <x:c r="L1049" s="13" t="n">
        <x:f>I1049/D1049</x:f>
        <x:v>9.075255102040817</x:v>
      </x:c>
      <x:c r="M1049" s="6" t="str">
        <x:v>Included</x:v>
      </x:c>
    </x:row>
    <x:row r="1050" ht="23" customHeight="1">
      <x:c r="B1050" s="12" t="str">
        <x:v>8240</x:v>
      </x:c>
      <x:c r="C1050" s="6" t="str">
        <x:v>Castlefield Ave / Roselawn Ave</x:v>
      </x:c>
      <x:c r="D1050" s="6" t="n">
        <x:v>789</x:v>
      </x:c>
      <x:c r="E1050" s="6" t="n">
        <x:v>789</x:v>
      </x:c>
      <x:c r="F1050" s="6" t="n">
        <x:v>0</x:v>
      </x:c>
      <x:c r="G1050" s="6" t="n">
        <x:v>11</x:v>
      </x:c>
      <x:c r="H1050" s="6" t="n">
        <x:v>115</x:v>
      </x:c>
      <x:c r="I1050" s="6" t="n">
        <x:v>8536</x:v>
      </x:c>
      <x:c r="J1050" s="11" t="n">
        <x:f>E1050/D1050</x:f>
        <x:v>1</x:v>
      </x:c>
      <x:c r="K1050" s="11" t="n">
        <x:f>F1050/D1050</x:f>
        <x:v>0</x:v>
      </x:c>
      <x:c r="L1050" s="13" t="n">
        <x:f>I1050/D1050</x:f>
        <x:v>10.818757921419518</x:v>
      </x:c>
      <x:c r="M1050" s="6" t="str">
        <x:v>Included</x:v>
      </x:c>
    </x:row>
    <x:row r="1051" ht="23" customHeight="1">
      <x:c r="B1051" s="12" t="str">
        <x:v>8241</x:v>
      </x:c>
      <x:c r="C1051" s="6" t="str">
        <x:v>Kingsley Ave / Perth Ave</x:v>
      </x:c>
      <x:c r="D1051" s="6" t="n">
        <x:v>794</x:v>
      </x:c>
      <x:c r="E1051" s="6" t="n">
        <x:v>794</x:v>
      </x:c>
      <x:c r="F1051" s="6" t="n">
        <x:v>0</x:v>
      </x:c>
      <x:c r="G1051" s="6" t="n">
        <x:v>11</x:v>
      </x:c>
      <x:c r="H1051" s="6" t="n">
        <x:v>115</x:v>
      </x:c>
      <x:c r="I1051" s="6" t="n">
        <x:v>10728</x:v>
      </x:c>
      <x:c r="J1051" s="11" t="n">
        <x:f>E1051/D1051</x:f>
        <x:v>1</x:v>
      </x:c>
      <x:c r="K1051" s="11" t="n">
        <x:f>F1051/D1051</x:f>
        <x:v>0</x:v>
      </x:c>
      <x:c r="L1051" s="13" t="n">
        <x:f>I1051/D1051</x:f>
        <x:v>13.511335012594458</x:v>
      </x:c>
      <x:c r="M1051" s="6" t="str">
        <x:v>Included</x:v>
      </x:c>
    </x:row>
    <x:row r="1052" ht="23" customHeight="1">
      <x:c r="B1052" s="12" t="str">
        <x:v>8242</x:v>
      </x:c>
      <x:c r="C1052" s="6" t="str">
        <x:v>Leslie St / Eglinton Ave E</x:v>
      </x:c>
      <x:c r="D1052" s="6" t="n">
        <x:v>777</x:v>
      </x:c>
      <x:c r="E1052" s="6" t="n">
        <x:v>777</x:v>
      </x:c>
      <x:c r="F1052" s="6" t="n">
        <x:v>0</x:v>
      </x:c>
      <x:c r="G1052" s="6" t="n">
        <x:v>11</x:v>
      </x:c>
      <x:c r="H1052" s="6" t="n">
        <x:v>114</x:v>
      </x:c>
      <x:c r="I1052" s="6" t="n">
        <x:v>13264</x:v>
      </x:c>
      <x:c r="J1052" s="11" t="n">
        <x:f>E1052/D1052</x:f>
        <x:v>1</x:v>
      </x:c>
      <x:c r="K1052" s="11" t="n">
        <x:f>F1052/D1052</x:f>
        <x:v>0</x:v>
      </x:c>
      <x:c r="L1052" s="13" t="n">
        <x:f>I1052/D1052</x:f>
        <x:v>17.07078507078507</x:v>
      </x:c>
      <x:c r="M1052" s="6" t="str">
        <x:v>Included</x:v>
      </x:c>
    </x:row>
    <x:row r="1053" ht="23" customHeight="1">
      <x:c r="B1053" s="12" t="str">
        <x:v>8243</x:v>
      </x:c>
      <x:c r="C1053" s="6" t="str">
        <x:v>Grenoble Dr / Gateway Blvd (South)</x:v>
      </x:c>
      <x:c r="D1053" s="6" t="n">
        <x:v>789</x:v>
      </x:c>
      <x:c r="E1053" s="6" t="n">
        <x:v>789</x:v>
      </x:c>
      <x:c r="F1053" s="6" t="n">
        <x:v>0</x:v>
      </x:c>
      <x:c r="G1053" s="6" t="n">
        <x:v>11</x:v>
      </x:c>
      <x:c r="H1053" s="6" t="n">
        <x:v>114</x:v>
      </x:c>
      <x:c r="I1053" s="6" t="n">
        <x:v>10858</x:v>
      </x:c>
      <x:c r="J1053" s="11" t="n">
        <x:f>E1053/D1053</x:f>
        <x:v>1</x:v>
      </x:c>
      <x:c r="K1053" s="11" t="n">
        <x:f>F1053/D1053</x:f>
        <x:v>0</x:v>
      </x:c>
      <x:c r="L1053" s="13" t="n">
        <x:f>I1053/D1053</x:f>
        <x:v>13.761723700887199</x:v>
      </x:c>
      <x:c r="M1053" s="6" t="str">
        <x:v>Included</x:v>
      </x:c>
    </x:row>
    <x:row r="1054" ht="23" customHeight="1">
      <x:c r="B1054" s="12" t="str">
        <x:v>8245</x:v>
      </x:c>
      <x:c r="C1054" s="6" t="str">
        <x:v>Pailton Cres / Merton St</x:v>
      </x:c>
      <x:c r="D1054" s="6" t="n">
        <x:v>785</x:v>
      </x:c>
      <x:c r="E1054" s="6" t="n">
        <x:v>785</x:v>
      </x:c>
      <x:c r="F1054" s="6" t="n">
        <x:v>0</x:v>
      </x:c>
      <x:c r="G1054" s="6" t="n">
        <x:v>11</x:v>
      </x:c>
      <x:c r="H1054" s="6" t="n">
        <x:v>115</x:v>
      </x:c>
      <x:c r="I1054" s="6" t="n">
        <x:v>10376</x:v>
      </x:c>
      <x:c r="J1054" s="11" t="n">
        <x:f>E1054/D1054</x:f>
        <x:v>1</x:v>
      </x:c>
      <x:c r="K1054" s="11" t="n">
        <x:f>F1054/D1054</x:f>
        <x:v>0</x:v>
      </x:c>
      <x:c r="L1054" s="13" t="n">
        <x:f>I1054/D1054</x:f>
        <x:v>13.21783439490446</x:v>
      </x:c>
      <x:c r="M1054" s="6" t="str">
        <x:v>Included</x:v>
      </x:c>
    </x:row>
    <x:row r="1055" ht="23" customHeight="1">
      <x:c r="B1055" s="12" t="str">
        <x:v>8246</x:v>
      </x:c>
      <x:c r="C1055" s="6" t="str">
        <x:v>Maplewood Ave / Raglan Ave</x:v>
      </x:c>
      <x:c r="D1055" s="6" t="n">
        <x:v>794</x:v>
      </x:c>
      <x:c r="E1055" s="6" t="n">
        <x:v>794</x:v>
      </x:c>
      <x:c r="F1055" s="6" t="n">
        <x:v>0</x:v>
      </x:c>
      <x:c r="G1055" s="6" t="n">
        <x:v>11</x:v>
      </x:c>
      <x:c r="H1055" s="6" t="n">
        <x:v>114</x:v>
      </x:c>
      <x:c r="I1055" s="6" t="n">
        <x:v>7164</x:v>
      </x:c>
      <x:c r="J1055" s="11" t="n">
        <x:f>E1055/D1055</x:f>
        <x:v>1</x:v>
      </x:c>
      <x:c r="K1055" s="11" t="n">
        <x:f>F1055/D1055</x:f>
        <x:v>0</x:v>
      </x:c>
      <x:c r="L1055" s="13" t="n">
        <x:f>I1055/D1055</x:f>
        <x:v>9.022670025188917</x:v>
      </x:c>
      <x:c r="M1055" s="6" t="str">
        <x:v>Included</x:v>
      </x:c>
    </x:row>
    <x:row r="1056" ht="23" customHeight="1">
      <x:c r="B1056" s="12" t="str">
        <x:v>8247</x:v>
      </x:c>
      <x:c r="C1056" s="6" t="str">
        <x:v>Avenue Rd / Heath St W</x:v>
      </x:c>
      <x:c r="D1056" s="6" t="n">
        <x:v>794</x:v>
      </x:c>
      <x:c r="E1056" s="6" t="n">
        <x:v>794</x:v>
      </x:c>
      <x:c r="F1056" s="6" t="n">
        <x:v>0</x:v>
      </x:c>
      <x:c r="G1056" s="6" t="n">
        <x:v>11</x:v>
      </x:c>
      <x:c r="H1056" s="6" t="n">
        <x:v>115</x:v>
      </x:c>
      <x:c r="I1056" s="6" t="n">
        <x:v>10882</x:v>
      </x:c>
      <x:c r="J1056" s="11" t="n">
        <x:f>E1056/D1056</x:f>
        <x:v>1</x:v>
      </x:c>
      <x:c r="K1056" s="11" t="n">
        <x:f>F1056/D1056</x:f>
        <x:v>0</x:v>
      </x:c>
      <x:c r="L1056" s="13" t="n">
        <x:f>I1056/D1056</x:f>
        <x:v>13.705289672544081</x:v>
      </x:c>
      <x:c r="M1056" s="6" t="str">
        <x:v>Included</x:v>
      </x:c>
    </x:row>
    <x:row r="1057" ht="23" customHeight="1">
      <x:c r="B1057" s="12" t="str">
        <x:v>8248</x:v>
      </x:c>
      <x:c r="C1057" s="6" t="str">
        <x:v>Avenue Rd / Lonsdale Rd</x:v>
      </x:c>
      <x:c r="D1057" s="6" t="n">
        <x:v>792</x:v>
      </x:c>
      <x:c r="E1057" s="6" t="n">
        <x:v>792</x:v>
      </x:c>
      <x:c r="F1057" s="6" t="n">
        <x:v>0</x:v>
      </x:c>
      <x:c r="G1057" s="6" t="n">
        <x:v>11</x:v>
      </x:c>
      <x:c r="H1057" s="6" t="n">
        <x:v>114</x:v>
      </x:c>
      <x:c r="I1057" s="6" t="n">
        <x:v>6528</x:v>
      </x:c>
      <x:c r="J1057" s="11" t="n">
        <x:f>E1057/D1057</x:f>
        <x:v>1</x:v>
      </x:c>
      <x:c r="K1057" s="11" t="n">
        <x:f>F1057/D1057</x:f>
        <x:v>0</x:v>
      </x:c>
      <x:c r="L1057" s="13" t="n">
        <x:f>I1057/D1057</x:f>
        <x:v>8.242424242424242</x:v>
      </x:c>
      <x:c r="M1057" s="6" t="str">
        <x:v>Included</x:v>
      </x:c>
    </x:row>
    <x:row r="1058" ht="23" customHeight="1">
      <x:c r="B1058" s="12" t="str">
        <x:v>8249</x:v>
      </x:c>
      <x:c r="C1058" s="6" t="str">
        <x:v>5 York Garden Way</x:v>
      </x:c>
      <x:c r="D1058" s="6" t="n">
        <x:v>797</x:v>
      </x:c>
      <x:c r="E1058" s="6" t="n">
        <x:v>797</x:v>
      </x:c>
      <x:c r="F1058" s="6" t="n">
        <x:v>0</x:v>
      </x:c>
      <x:c r="G1058" s="6" t="n">
        <x:v>11</x:v>
      </x:c>
      <x:c r="H1058" s="6" t="n">
        <x:v>115</x:v>
      </x:c>
      <x:c r="I1058" s="6" t="n">
        <x:v>10266</x:v>
      </x:c>
      <x:c r="J1058" s="11" t="n">
        <x:f>E1058/D1058</x:f>
        <x:v>1</x:v>
      </x:c>
      <x:c r="K1058" s="11" t="n">
        <x:f>F1058/D1058</x:f>
        <x:v>0</x:v>
      </x:c>
      <x:c r="L1058" s="13" t="n">
        <x:f>I1058/D1058</x:f>
        <x:v>12.880803011292347</x:v>
      </x:c>
      <x:c r="M1058" s="6" t="str">
        <x:v>Included</x:v>
      </x:c>
    </x:row>
    <x:row r="1059" ht="23" customHeight="1">
      <x:c r="B1059" s="12" t="str">
        <x:v>8250</x:v>
      </x:c>
      <x:c r="C1059" s="6" t="str">
        <x:v>Old Park Rd / Eglinton Ave W</x:v>
      </x:c>
      <x:c r="D1059" s="6" t="n">
        <x:v>799</x:v>
      </x:c>
      <x:c r="E1059" s="6" t="n">
        <x:v>799</x:v>
      </x:c>
      <x:c r="F1059" s="6" t="n">
        <x:v>0</x:v>
      </x:c>
      <x:c r="G1059" s="6" t="n">
        <x:v>11</x:v>
      </x:c>
      <x:c r="H1059" s="6" t="n">
        <x:v>114</x:v>
      </x:c>
      <x:c r="I1059" s="6" t="n">
        <x:v>7806</x:v>
      </x:c>
      <x:c r="J1059" s="11" t="n">
        <x:f>E1059/D1059</x:f>
        <x:v>1</x:v>
      </x:c>
      <x:c r="K1059" s="11" t="n">
        <x:f>F1059/D1059</x:f>
        <x:v>0</x:v>
      </x:c>
      <x:c r="L1059" s="13" t="n">
        <x:f>I1059/D1059</x:f>
        <x:v>9.76971214017522</x:v>
      </x:c>
      <x:c r="M1059" s="6" t="str">
        <x:v>Included</x:v>
      </x:c>
    </x:row>
    <x:row r="1060" ht="23" customHeight="1">
      <x:c r="B1060" s="12" t="str">
        <x:v>8251</x:v>
      </x:c>
      <x:c r="C1060" s="6" t="str">
        <x:v>University Ave / Heenan Pl</x:v>
      </x:c>
      <x:c r="D1060" s="6" t="n">
        <x:v>785</x:v>
      </x:c>
      <x:c r="E1060" s="6" t="n">
        <x:v>765</x:v>
      </x:c>
      <x:c r="F1060" s="6" t="n">
        <x:v>20</x:v>
      </x:c>
      <x:c r="G1060" s="6" t="n">
        <x:v>11</x:v>
      </x:c>
      <x:c r="H1060" s="6" t="n">
        <x:v>115</x:v>
      </x:c>
      <x:c r="I1060" s="6" t="n">
        <x:v>5154</x:v>
      </x:c>
      <x:c r="J1060" s="11" t="n">
        <x:f>E1060/D1060</x:f>
        <x:v>0.9745222929936306</x:v>
      </x:c>
      <x:c r="K1060" s="11" t="n">
        <x:f>F1060/D1060</x:f>
        <x:v>0.025477707006369428</x:v>
      </x:c>
      <x:c r="L1060" s="13" t="n">
        <x:f>I1060/D1060</x:f>
        <x:v>6.565605095541401</x:v>
      </x:c>
      <x:c r="M1060" s="6" t="str">
        <x:v>Included</x:v>
      </x:c>
    </x:row>
    <x:row r="1061" ht="23" customHeight="1">
      <x:c r="B1061" s="12" t="str">
        <x:v>8252</x:v>
      </x:c>
      <x:c r="C1061" s="6" t="str">
        <x:v>Oriole Pkwy / Frobisher Ave</x:v>
      </x:c>
      <x:c r="D1061" s="6" t="n">
        <x:v>793</x:v>
      </x:c>
      <x:c r="E1061" s="6" t="n">
        <x:v>793</x:v>
      </x:c>
      <x:c r="F1061" s="6" t="n">
        <x:v>0</x:v>
      </x:c>
      <x:c r="G1061" s="6" t="n">
        <x:v>11</x:v>
      </x:c>
      <x:c r="H1061" s="6" t="n">
        <x:v>116</x:v>
      </x:c>
      <x:c r="I1061" s="6" t="n">
        <x:v>11664</x:v>
      </x:c>
      <x:c r="J1061" s="11" t="n">
        <x:f>E1061/D1061</x:f>
        <x:v>1</x:v>
      </x:c>
      <x:c r="K1061" s="11" t="n">
        <x:f>F1061/D1061</x:f>
        <x:v>0</x:v>
      </x:c>
      <x:c r="L1061" s="13" t="n">
        <x:f>I1061/D1061</x:f>
        <x:v>14.708701134930642</x:v>
      </x:c>
      <x:c r="M1061" s="6" t="str">
        <x:v>Included</x:v>
      </x:c>
    </x:row>
    <x:row r="1062" ht="23" customHeight="1">
      <x:c r="B1062" s="12" t="str">
        <x:v>8253</x:v>
      </x:c>
      <x:c r="C1062" s="6" t="str">
        <x:v>Biidaasige Park West</x:v>
      </x:c>
      <x:c r="D1062" s="6" t="n">
        <x:v>789</x:v>
      </x:c>
      <x:c r="E1062" s="6" t="n">
        <x:v>788</x:v>
      </x:c>
      <x:c r="F1062" s="6" t="n">
        <x:v>1</x:v>
      </x:c>
      <x:c r="G1062" s="6" t="n">
        <x:v>11</x:v>
      </x:c>
      <x:c r="H1062" s="6" t="n">
        <x:v>115</x:v>
      </x:c>
      <x:c r="I1062" s="6" t="n">
        <x:v>9708</x:v>
      </x:c>
      <x:c r="J1062" s="11" t="n">
        <x:f>E1062/D1062</x:f>
        <x:v>0.9987325728770595</x:v>
      </x:c>
      <x:c r="K1062" s="11" t="n">
        <x:f>F1062/D1062</x:f>
        <x:v>0.0012674271229404308</x:v>
      </x:c>
      <x:c r="L1062" s="13" t="n">
        <x:f>I1062/D1062</x:f>
        <x:v>12.304182509505704</x:v>
      </x:c>
      <x:c r="M1062" s="6" t="str">
        <x:v>Included</x:v>
      </x:c>
    </x:row>
    <x:row r="1063" ht="23" customHeight="1">
      <x:c r="B1063" s="12" t="str">
        <x:v>8254</x:v>
      </x:c>
      <x:c r="C1063" s="6" t="str">
        <x:v>Cherry St / Commissioners St</x:v>
      </x:c>
      <x:c r="D1063" s="6" t="n">
        <x:v>789</x:v>
      </x:c>
      <x:c r="E1063" s="6" t="n">
        <x:v>740</x:v>
      </x:c>
      <x:c r="F1063" s="6" t="n">
        <x:v>49</x:v>
      </x:c>
      <x:c r="G1063" s="6" t="n">
        <x:v>11</x:v>
      </x:c>
      <x:c r="H1063" s="6" t="n">
        <x:v>115</x:v>
      </x:c>
      <x:c r="I1063" s="6" t="n">
        <x:v>5398</x:v>
      </x:c>
      <x:c r="J1063" s="11" t="n">
        <x:f>E1063/D1063</x:f>
        <x:v>0.9378960709759189</x:v>
      </x:c>
      <x:c r="K1063" s="11" t="n">
        <x:f>F1063/D1063</x:f>
        <x:v>0.062103929024081114</x:v>
      </x:c>
      <x:c r="L1063" s="13" t="n">
        <x:f>I1063/D1063</x:f>
        <x:v>6.841571609632446</x:v>
      </x:c>
      <x:c r="M1063" s="6" t="str">
        <x:v>Included</x:v>
      </x:c>
    </x:row>
    <x:row r="1064" ht="23" customHeight="1">
      <x:c r="B1064" s="12" t="str">
        <x:v>8255</x:v>
      </x:c>
      <x:c r="C1064" s="6" t="str">
        <x:v>Dartnell Ave / Bridgman Ave</x:v>
      </x:c>
      <x:c r="D1064" s="6" t="n">
        <x:v>782</x:v>
      </x:c>
      <x:c r="E1064" s="6" t="n">
        <x:v>782</x:v>
      </x:c>
      <x:c r="F1064" s="6" t="n">
        <x:v>0</x:v>
      </x:c>
      <x:c r="G1064" s="6" t="n">
        <x:v>11</x:v>
      </x:c>
      <x:c r="H1064" s="6" t="n">
        <x:v>114</x:v>
      </x:c>
      <x:c r="I1064" s="6" t="n">
        <x:v>10212</x:v>
      </x:c>
      <x:c r="J1064" s="11" t="n">
        <x:f>E1064/D1064</x:f>
        <x:v>1</x:v>
      </x:c>
      <x:c r="K1064" s="11" t="n">
        <x:f>F1064/D1064</x:f>
        <x:v>0</x:v>
      </x:c>
      <x:c r="L1064" s="13" t="n">
        <x:f>I1064/D1064</x:f>
        <x:v>13.058823529411764</x:v>
      </x:c>
      <x:c r="M1064" s="6" t="str">
        <x:v>Included</x:v>
      </x:c>
    </x:row>
    <x:row r="1065" ht="23" customHeight="1">
      <x:c r="B1065" s="12" t="str">
        <x:v>8256</x:v>
      </x:c>
      <x:c r="C1065" s="6" t="str">
        <x:v>Eglinton Ave E / Banff Ave</x:v>
      </x:c>
      <x:c r="D1065" s="6" t="n">
        <x:v>241</x:v>
      </x:c>
      <x:c r="E1065" s="6" t="n">
        <x:v>241</x:v>
      </x:c>
      <x:c r="F1065" s="6" t="n">
        <x:v>0</x:v>
      </x:c>
      <x:c r="G1065" s="6" t="n">
        <x:v>4</x:v>
      </x:c>
      <x:c r="H1065" s="6" t="n">
        <x:v>49</x:v>
      </x:c>
      <x:c r="I1065" s="6" t="n">
        <x:v>3257</x:v>
      </x:c>
      <x:c r="J1065" s="11" t="n">
        <x:f>E1065/D1065</x:f>
        <x:v>1</x:v>
      </x:c>
      <x:c r="K1065" s="11" t="n">
        <x:f>F1065/D1065</x:f>
        <x:v>0</x:v>
      </x:c>
      <x:c r="L1065" s="13" t="n">
        <x:f>I1065/D1065</x:f>
        <x:v>13.514522821576763</x:v>
      </x:c>
      <x:c r="M1065" s="6" t="str">
        <x:v>Low support</x:v>
      </x:c>
    </x:row>
    <x:row r="1066" ht="23" customHeight="1">
      <x:c r="B1066" s="12" t="str">
        <x:v>8257</x:v>
      </x:c>
      <x:c r="C1066" s="6" t="str">
        <x:v>St. Edmunds Dr / Yonge St</x:v>
      </x:c>
      <x:c r="D1066" s="6" t="n">
        <x:v>792</x:v>
      </x:c>
      <x:c r="E1066" s="6" t="n">
        <x:v>792</x:v>
      </x:c>
      <x:c r="F1066" s="6" t="n">
        <x:v>0</x:v>
      </x:c>
      <x:c r="G1066" s="6" t="n">
        <x:v>11</x:v>
      </x:c>
      <x:c r="H1066" s="6" t="n">
        <x:v>114</x:v>
      </x:c>
      <x:c r="I1066" s="6" t="n">
        <x:v>12984</x:v>
      </x:c>
      <x:c r="J1066" s="11" t="n">
        <x:f>E1066/D1066</x:f>
        <x:v>1</x:v>
      </x:c>
      <x:c r="K1066" s="11" t="n">
        <x:f>F1066/D1066</x:f>
        <x:v>0</x:v>
      </x:c>
      <x:c r="L1066" s="13" t="n">
        <x:f>I1066/D1066</x:f>
        <x:v>16.393939393939394</x:v>
      </x:c>
      <x:c r="M1066" s="6" t="str">
        <x:v>Included</x:v>
      </x:c>
    </x:row>
    <x:row r="1067" ht="23" customHeight="1">
      <x:c r="B1067" s="12" t="str">
        <x:v>8258</x:v>
      </x:c>
      <x:c r="C1067" s="6" t="str">
        <x:v>Esandar Dr / Laird Dr</x:v>
      </x:c>
      <x:c r="D1067" s="6" t="n">
        <x:v>795</x:v>
      </x:c>
      <x:c r="E1067" s="6" t="n">
        <x:v>795</x:v>
      </x:c>
      <x:c r="F1067" s="6" t="n">
        <x:v>0</x:v>
      </x:c>
      <x:c r="G1067" s="6" t="n">
        <x:v>11</x:v>
      </x:c>
      <x:c r="H1067" s="6" t="n">
        <x:v>115</x:v>
      </x:c>
      <x:c r="I1067" s="6" t="n">
        <x:v>8241</x:v>
      </x:c>
      <x:c r="J1067" s="11" t="n">
        <x:f>E1067/D1067</x:f>
        <x:v>1</x:v>
      </x:c>
      <x:c r="K1067" s="11" t="n">
        <x:f>F1067/D1067</x:f>
        <x:v>0</x:v>
      </x:c>
      <x:c r="L1067" s="13" t="n">
        <x:f>I1067/D1067</x:f>
        <x:v>10.366037735849057</x:v>
      </x:c>
      <x:c r="M1067" s="6" t="str">
        <x:v>Included</x:v>
      </x:c>
    </x:row>
    <x:row r="1068" ht="23" customHeight="1">
      <x:c r="B1068" s="12" t="str">
        <x:v>8259</x:v>
      </x:c>
      <x:c r="C1068" s="6" t="str">
        <x:v>Leonard Linton Park (Vanderhoof Ave)</x:v>
      </x:c>
      <x:c r="D1068" s="6" t="n">
        <x:v>783</x:v>
      </x:c>
      <x:c r="E1068" s="6" t="n">
        <x:v>783</x:v>
      </x:c>
      <x:c r="F1068" s="6" t="n">
        <x:v>0</x:v>
      </x:c>
      <x:c r="G1068" s="6" t="n">
        <x:v>11</x:v>
      </x:c>
      <x:c r="H1068" s="6" t="n">
        <x:v>114</x:v>
      </x:c>
      <x:c r="I1068" s="6" t="n">
        <x:v>4330</x:v>
      </x:c>
      <x:c r="J1068" s="11" t="n">
        <x:f>E1068/D1068</x:f>
        <x:v>1</x:v>
      </x:c>
      <x:c r="K1068" s="11" t="n">
        <x:f>F1068/D1068</x:f>
        <x:v>0</x:v>
      </x:c>
      <x:c r="L1068" s="13" t="n">
        <x:f>I1068/D1068</x:f>
        <x:v>5.530012771392082</x:v>
      </x:c>
      <x:c r="M1068" s="6" t="str">
        <x:v>Included</x:v>
      </x:c>
    </x:row>
    <x:row r="1069" ht="23" customHeight="1">
      <x:c r="B1069" s="12" t="str">
        <x:v>8260</x:v>
      </x:c>
      <x:c r="C1069" s="6" t="str">
        <x:v>Toronto Music Garden</x:v>
      </x:c>
      <x:c r="D1069" s="6" t="n">
        <x:v>799</x:v>
      </x:c>
      <x:c r="E1069" s="6" t="n">
        <x:v>687</x:v>
      </x:c>
      <x:c r="F1069" s="6" t="n">
        <x:v>112</x:v>
      </x:c>
      <x:c r="G1069" s="6" t="n">
        <x:v>11</x:v>
      </x:c>
      <x:c r="H1069" s="6" t="n">
        <x:v>115</x:v>
      </x:c>
      <x:c r="I1069" s="6" t="n">
        <x:v>3866</x:v>
      </x:c>
      <x:c r="J1069" s="11" t="n">
        <x:f>E1069/D1069</x:f>
        <x:v>0.8598247809762203</x:v>
      </x:c>
      <x:c r="K1069" s="11" t="n">
        <x:f>F1069/D1069</x:f>
        <x:v>0.14017521902377972</x:v>
      </x:c>
      <x:c r="L1069" s="13" t="n">
        <x:f>I1069/D1069</x:f>
        <x:v>4.83854818523154</x:v>
      </x:c>
      <x:c r="M1069" s="6" t="str">
        <x:v>Included</x:v>
      </x:c>
    </x:row>
    <x:row r="1070" ht="23" customHeight="1">
      <x:c r="B1070" s="12" t="str">
        <x:v>8261</x:v>
      </x:c>
      <x:c r="C1070" s="6" t="str">
        <x:v>Moore Ave / Pottery Rd</x:v>
      </x:c>
      <x:c r="D1070" s="6" t="n">
        <x:v>794</x:v>
      </x:c>
      <x:c r="E1070" s="6" t="n">
        <x:v>794</x:v>
      </x:c>
      <x:c r="F1070" s="6" t="n">
        <x:v>0</x:v>
      </x:c>
      <x:c r="G1070" s="6" t="n">
        <x:v>11</x:v>
      </x:c>
      <x:c r="H1070" s="6" t="n">
        <x:v>114</x:v>
      </x:c>
      <x:c r="I1070" s="6" t="n">
        <x:v>10314</x:v>
      </x:c>
      <x:c r="J1070" s="11" t="n">
        <x:f>E1070/D1070</x:f>
        <x:v>1</x:v>
      </x:c>
      <x:c r="K1070" s="11" t="n">
        <x:f>F1070/D1070</x:f>
        <x:v>0</x:v>
      </x:c>
      <x:c r="L1070" s="13" t="n">
        <x:f>I1070/D1070</x:f>
        <x:v>12.98992443324937</x:v>
      </x:c>
      <x:c r="M1070" s="6" t="str">
        <x:v>Included</x:v>
      </x:c>
    </x:row>
    <x:row r="1071" ht="23" customHeight="1">
      <x:c r="B1071" s="12" t="str">
        <x:v>8262</x:v>
      </x:c>
      <x:c r="C1071" s="6" t="str">
        <x:v>Mill St / Rolling Mills Rd</x:v>
      </x:c>
      <x:c r="D1071" s="6" t="n">
        <x:v>794</x:v>
      </x:c>
      <x:c r="E1071" s="6" t="n">
        <x:v>628</x:v>
      </x:c>
      <x:c r="F1071" s="6" t="n">
        <x:v>166</x:v>
      </x:c>
      <x:c r="G1071" s="6" t="n">
        <x:v>11</x:v>
      </x:c>
      <x:c r="H1071" s="6" t="n">
        <x:v>114</x:v>
      </x:c>
      <x:c r="I1071" s="6" t="n">
        <x:v>9291</x:v>
      </x:c>
      <x:c r="J1071" s="11" t="n">
        <x:f>E1071/D1071</x:f>
        <x:v>0.7909319899244333</x:v>
      </x:c>
      <x:c r="K1071" s="11" t="n">
        <x:f>F1071/D1071</x:f>
        <x:v>0.20906801007556675</x:v>
      </x:c>
      <x:c r="L1071" s="13" t="n">
        <x:f>I1071/D1071</x:f>
        <x:v>11.701511335012594</x:v>
      </x:c>
      <x:c r="M1071" s="6" t="str">
        <x:v>Included</x:v>
      </x:c>
    </x:row>
    <x:row r="1072" ht="23" customHeight="1">
      <x:c r="B1072" s="12" t="str">
        <x:v>8263</x:v>
      </x:c>
      <x:c r="C1072" s="6" t="str">
        <x:v>Centennial College (Progress Campus)</x:v>
      </x:c>
      <x:c r="D1072" s="6" t="n">
        <x:v>790</x:v>
      </x:c>
      <x:c r="E1072" s="6" t="n">
        <x:v>790</x:v>
      </x:c>
      <x:c r="F1072" s="6" t="n">
        <x:v>0</x:v>
      </x:c>
      <x:c r="G1072" s="6" t="n">
        <x:v>11</x:v>
      </x:c>
      <x:c r="H1072" s="6" t="n">
        <x:v>115</x:v>
      </x:c>
      <x:c r="I1072" s="6" t="n">
        <x:v>16876</x:v>
      </x:c>
      <x:c r="J1072" s="11" t="n">
        <x:f>E1072/D1072</x:f>
        <x:v>1</x:v>
      </x:c>
      <x:c r="K1072" s="11" t="n">
        <x:f>F1072/D1072</x:f>
        <x:v>0</x:v>
      </x:c>
      <x:c r="L1072" s="13" t="n">
        <x:f>I1072/D1072</x:f>
        <x:v>21.362025316455696</x:v>
      </x:c>
      <x:c r="M1072" s="6" t="str">
        <x:v>Included</x:v>
      </x:c>
    </x:row>
    <x:row r="1073" ht="23" customHeight="1">
      <x:c r="B1073" s="12" t="str">
        <x:v>8264</x:v>
      </x:c>
      <x:c r="C1073" s="6" t="str">
        <x:v>Colborne Lodge</x:v>
      </x:c>
      <x:c r="D1073" s="6" t="n">
        <x:v>783</x:v>
      </x:c>
      <x:c r="E1073" s="6" t="n">
        <x:v>775</x:v>
      </x:c>
      <x:c r="F1073" s="6" t="n">
        <x:v>8</x:v>
      </x:c>
      <x:c r="G1073" s="6" t="n">
        <x:v>11</x:v>
      </x:c>
      <x:c r="H1073" s="6" t="n">
        <x:v>115</x:v>
      </x:c>
      <x:c r="I1073" s="6" t="n">
        <x:v>8576</x:v>
      </x:c>
      <x:c r="J1073" s="11" t="n">
        <x:f>E1073/D1073</x:f>
        <x:v>0.9897828863346104</x:v>
      </x:c>
      <x:c r="K1073" s="11" t="n">
        <x:f>F1073/D1073</x:f>
        <x:v>0.010217113665389528</x:v>
      </x:c>
      <x:c r="L1073" s="13" t="n">
        <x:f>I1073/D1073</x:f>
        <x:v>10.952745849297573</x:v>
      </x:c>
      <x:c r="M1073" s="6" t="str">
        <x:v>Included</x:v>
      </x:c>
    </x:row>
    <x:row r="1074" ht="23" customHeight="1">
      <x:c r="B1074" s="12" t="str">
        <x:v>8265</x:v>
      </x:c>
      <x:c r="C1074" s="6" t="str">
        <x:v>Lebovic Ave / Eglinton Ave E</x:v>
      </x:c>
      <x:c r="D1074" s="6" t="n">
        <x:v>788</x:v>
      </x:c>
      <x:c r="E1074" s="6" t="n">
        <x:v>788</x:v>
      </x:c>
      <x:c r="F1074" s="6" t="n">
        <x:v>0</x:v>
      </x:c>
      <x:c r="G1074" s="6" t="n">
        <x:v>11</x:v>
      </x:c>
      <x:c r="H1074" s="6" t="n">
        <x:v>114</x:v>
      </x:c>
      <x:c r="I1074" s="6" t="n">
        <x:v>13994</x:v>
      </x:c>
      <x:c r="J1074" s="11" t="n">
        <x:f>E1074/D1074</x:f>
        <x:v>1</x:v>
      </x:c>
      <x:c r="K1074" s="11" t="n">
        <x:f>F1074/D1074</x:f>
        <x:v>0</x:v>
      </x:c>
      <x:c r="L1074" s="13" t="n">
        <x:f>I1074/D1074</x:f>
        <x:v>17.758883248730964</x:v>
      </x:c>
      <x:c r="M1074" s="6" t="str">
        <x:v>Included</x:v>
      </x:c>
    </x:row>
    <x:row r="1075" ht="23" customHeight="1">
      <x:c r="B1075" s="12" t="str">
        <x:v>8266</x:v>
      </x:c>
      <x:c r="C1075" s="6" t="str">
        <x:v>Eglinton GO – Bellamy Park</x:v>
      </x:c>
      <x:c r="D1075" s="6" t="n">
        <x:v>782</x:v>
      </x:c>
      <x:c r="E1075" s="6" t="n">
        <x:v>782</x:v>
      </x:c>
      <x:c r="F1075" s="6" t="n">
        <x:v>0</x:v>
      </x:c>
      <x:c r="G1075" s="6" t="n">
        <x:v>11</x:v>
      </x:c>
      <x:c r="H1075" s="6" t="n">
        <x:v>115</x:v>
      </x:c>
      <x:c r="I1075" s="6" t="n">
        <x:v>20411</x:v>
      </x:c>
      <x:c r="J1075" s="11" t="n">
        <x:f>E1075/D1075</x:f>
        <x:v>1</x:v>
      </x:c>
      <x:c r="K1075" s="11" t="n">
        <x:f>F1075/D1075</x:f>
        <x:v>0</x:v>
      </x:c>
      <x:c r="L1075" s="13" t="n">
        <x:f>I1075/D1075</x:f>
        <x:v>26.101023017902815</x:v>
      </x:c>
      <x:c r="M1075" s="6" t="str">
        <x:v>Included</x:v>
      </x:c>
    </x:row>
    <x:row r="1076" ht="23" customHeight="1">
      <x:c r="B1076" s="12" t="str">
        <x:v>8267</x:v>
      </x:c>
      <x:c r="C1076" s="6" t="str">
        <x:v>Lower Sherbourne St / The Esplanade (North)</x:v>
      </x:c>
      <x:c r="D1076" s="6" t="n">
        <x:v>796</x:v>
      </x:c>
      <x:c r="E1076" s="6" t="n">
        <x:v>585</x:v>
      </x:c>
      <x:c r="F1076" s="6" t="n">
        <x:v>211</x:v>
      </x:c>
      <x:c r="G1076" s="6" t="n">
        <x:v>11</x:v>
      </x:c>
      <x:c r="H1076" s="6" t="n">
        <x:v>114</x:v>
      </x:c>
      <x:c r="I1076" s="6" t="n">
        <x:v>7646</x:v>
      </x:c>
      <x:c r="J1076" s="11" t="n">
        <x:f>E1076/D1076</x:f>
        <x:v>0.7349246231155779</x:v>
      </x:c>
      <x:c r="K1076" s="11" t="n">
        <x:f>F1076/D1076</x:f>
        <x:v>0.2650753768844221</x:v>
      </x:c>
      <x:c r="L1076" s="13" t="n">
        <x:f>I1076/D1076</x:f>
        <x:v>9.605527638190955</x:v>
      </x:c>
      <x:c r="M1076" s="6" t="str">
        <x:v>Included</x:v>
      </x:c>
    </x:row>
    <x:row r="1077" ht="23" customHeight="1">
      <x:c r="B1077" s="12" t="str">
        <x:v>8268</x:v>
      </x:c>
      <x:c r="C1077" s="6" t="str">
        <x:v>Simcoe St / Front St W</x:v>
      </x:c>
      <x:c r="D1077" s="6" t="n">
        <x:v>783</x:v>
      </x:c>
      <x:c r="E1077" s="6" t="n">
        <x:v>612</x:v>
      </x:c>
      <x:c r="F1077" s="6" t="n">
        <x:v>171</x:v>
      </x:c>
      <x:c r="G1077" s="6" t="n">
        <x:v>11</x:v>
      </x:c>
      <x:c r="H1077" s="6" t="n">
        <x:v>114</x:v>
      </x:c>
      <x:c r="I1077" s="6" t="n">
        <x:v>6194</x:v>
      </x:c>
      <x:c r="J1077" s="11" t="n">
        <x:f>E1077/D1077</x:f>
        <x:v>0.7816091954022989</x:v>
      </x:c>
      <x:c r="K1077" s="11" t="n">
        <x:f>F1077/D1077</x:f>
        <x:v>0.21839080459770116</x:v>
      </x:c>
      <x:c r="L1077" s="13" t="n">
        <x:f>I1077/D1077</x:f>
        <x:v>7.910600255427842</x:v>
      </x:c>
      <x:c r="M1077" s="6" t="str">
        <x:v>Included</x:v>
      </x:c>
    </x:row>
    <x:row r="1078" ht="23" customHeight="1">
      <x:c r="B1078" s="12" t="str">
        <x:v>8269</x:v>
      </x:c>
      <x:c r="C1078" s="6" t="str">
        <x:v>Greystone Walk Dr / Midland Ave</x:v>
      </x:c>
      <x:c r="D1078" s="6" t="n">
        <x:v>792</x:v>
      </x:c>
      <x:c r="E1078" s="6" t="n">
        <x:v>792</x:v>
      </x:c>
      <x:c r="F1078" s="6" t="n">
        <x:v>0</x:v>
      </x:c>
      <x:c r="G1078" s="6" t="n">
        <x:v>11</x:v>
      </x:c>
      <x:c r="H1078" s="6" t="n">
        <x:v>115</x:v>
      </x:c>
      <x:c r="I1078" s="6" t="n">
        <x:v>6547</x:v>
      </x:c>
      <x:c r="J1078" s="11" t="n">
        <x:f>E1078/D1078</x:f>
        <x:v>1</x:v>
      </x:c>
      <x:c r="K1078" s="11" t="n">
        <x:f>F1078/D1078</x:f>
        <x:v>0</x:v>
      </x:c>
      <x:c r="L1078" s="13" t="n">
        <x:f>I1078/D1078</x:f>
        <x:v>8.266414141414142</x:v>
      </x:c>
      <x:c r="M1078" s="6" t="str">
        <x:v>Included</x:v>
      </x:c>
    </x:row>
    <x:row r="1079" ht="23" customHeight="1">
      <x:c r="B1079" s="12" t="str">
        <x:v>8271</x:v>
      </x:c>
      <x:c r="C1079" s="6" t="str">
        <x:v>R.C. Harris Treatment Plant</x:v>
      </x:c>
      <x:c r="D1079" s="6" t="n">
        <x:v>705</x:v>
      </x:c>
      <x:c r="E1079" s="6" t="n">
        <x:v>705</x:v>
      </x:c>
      <x:c r="F1079" s="6" t="n">
        <x:v>0</x:v>
      </x:c>
      <x:c r="G1079" s="6" t="n">
        <x:v>10</x:v>
      </x:c>
      <x:c r="H1079" s="6" t="n">
        <x:v>99</x:v>
      </x:c>
      <x:c r="I1079" s="6" t="n">
        <x:v>8691</x:v>
      </x:c>
      <x:c r="J1079" s="11" t="n">
        <x:f>E1079/D1079</x:f>
        <x:v>1</x:v>
      </x:c>
      <x:c r="K1079" s="11" t="n">
        <x:f>F1079/D1079</x:f>
        <x:v>0</x:v>
      </x:c>
      <x:c r="L1079" s="13" t="n">
        <x:f>I1079/D1079</x:f>
        <x:v>12.327659574468084</x:v>
      </x:c>
      <x:c r="M1079" s="6" t="str">
        <x:v>Included</x:v>
      </x:c>
    </x:row>
    <x:row r="1080" ht="23" customHeight="1">
      <x:c r="B1080" s="12" t="str">
        <x:v>8272</x:v>
      </x:c>
      <x:c r="C1080" s="6" t="str">
        <x:v>Kipling Station</x:v>
      </x:c>
      <x:c r="D1080" s="6" t="n">
        <x:v>244</x:v>
      </x:c>
      <x:c r="E1080" s="6" t="n">
        <x:v>244</x:v>
      </x:c>
      <x:c r="F1080" s="6" t="n">
        <x:v>0</x:v>
      </x:c>
      <x:c r="G1080" s="6" t="n">
        <x:v>4</x:v>
      </x:c>
      <x:c r="H1080" s="6" t="n">
        <x:v>49</x:v>
      </x:c>
      <x:c r="I1080" s="6" t="n">
        <x:v>4059</x:v>
      </x:c>
      <x:c r="J1080" s="11" t="n">
        <x:f>E1080/D1080</x:f>
        <x:v>1</x:v>
      </x:c>
      <x:c r="K1080" s="11" t="n">
        <x:f>F1080/D1080</x:f>
        <x:v>0</x:v>
      </x:c>
      <x:c r="L1080" s="13" t="n">
        <x:f>I1080/D1080</x:f>
        <x:v>16.635245901639344</x:v>
      </x:c>
      <x:c r="M1080" s="6" t="str">
        <x:v>Low support</x:v>
      </x:c>
    </x:row>
    <x:row r="1081" ht="23" customHeight="1">
      <x:c r="B1081" s="12" t="str">
        <x:v>8273</x:v>
      </x:c>
      <x:c r="C1081" s="6" t="str">
        <x:v>Exhibition Place – Coca Cola Coliseum</x:v>
      </x:c>
      <x:c r="D1081" s="6" t="n">
        <x:v>243</x:v>
      </x:c>
      <x:c r="E1081" s="6" t="n">
        <x:v>222</x:v>
      </x:c>
      <x:c r="F1081" s="6" t="n">
        <x:v>21</x:v>
      </x:c>
      <x:c r="G1081" s="6" t="n">
        <x:v>4</x:v>
      </x:c>
      <x:c r="H1081" s="6" t="n">
        <x:v>49</x:v>
      </x:c>
      <x:c r="I1081" s="6" t="n">
        <x:v>5474</x:v>
      </x:c>
      <x:c r="J1081" s="11" t="n">
        <x:f>E1081/D1081</x:f>
        <x:v>0.9135802469135802</x:v>
      </x:c>
      <x:c r="K1081" s="11" t="n">
        <x:f>F1081/D1081</x:f>
        <x:v>0.08641975308641975</x:v>
      </x:c>
      <x:c r="L1081" s="13" t="n">
        <x:f>I1081/D1081</x:f>
        <x:v>22.526748971193417</x:v>
      </x:c>
      <x:c r="M1081" s="6" t="str">
        <x:v>Low support</x:v>
      </x:c>
    </x:row>
  </x:sheetData>
  <x:conditionalFormatting sqref="K7:K1081">
    <x:cfRule type="colorScale" priority="1">
      <x:colorScale>
        <x:cfvo type="min"/>
        <x:cfvo type="max"/>
        <x:color rgb="FFFFFFFF"/>
        <x:color rgb="FFF2C57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f692f559c064b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7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6" hidden="0" customWidth="1"/>
    <x:col min="9" max="9" width="16" hidden="0" customWidth="1"/>
    <x:col min="10" max="10" width="17" hidden="0" customWidth="1"/>
    <x:col min="11" max="11" width="14" hidden="0" customWidth="1"/>
    <x:col min="12" max="12" width="18" hidden="0" customWidth="1"/>
    <x:col min="13" max="13" width="18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1" customHeight="1">
      <x:c r="A2" s="1"/>
      <x:c r="B2" s="2" t="str">
        <x:v>Collection coverage by date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1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1"/>
      <x:c r="O3" s="1"/>
      <x:c r="P3" s="1"/>
    </x:row>
    <x:row r="4" ht="21" customHeight="1">
      <x:c r="A4" s="1"/>
      <x:c r="B4" s="4" t="str">
        <x:v>Toronto dates. First and last dates are partial days; absent polls are counted.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0" customHeight="1">
      <x:c r="A6" s="1"/>
      <x:c r="B6" s="10" t="str">
        <x:v>Date</x:v>
      </x:c>
      <x:c r="C6" s="10" t="str">
        <x:v>Expected polls</x:v>
      </x:c>
      <x:c r="D6" s="10" t="str">
        <x:v>Attempted</x:v>
      </x:c>
      <x:c r="E6" s="10" t="str">
        <x:v>Successful</x:v>
      </x:c>
      <x:c r="F6" s="10" t="str">
        <x:v>Partial</x:v>
      </x:c>
      <x:c r="G6" s="10" t="str">
        <x:v>Failed</x:v>
      </x:c>
      <x:c r="H6" s="10" t="str">
        <x:v>Reports</x:v>
      </x:c>
      <x:c r="I6" s="10" t="str">
        <x:v>Available</x:v>
      </x:c>
      <x:c r="J6" s="10" t="str">
        <x:v>Docks sum</x:v>
      </x:c>
      <x:c r="K6" s="10" t="str">
        <x:v>Stations</x:v>
      </x:c>
      <x:c r="L6" s="10" t="str">
        <x:v>Poll coverage</x:v>
      </x:c>
      <x:c r="M6" s="10" t="str">
        <x:v>Availability</x:v>
      </x:c>
      <x:c r="N6" s="1"/>
      <x:c r="O6" s="1"/>
      <x:c r="P6" s="1"/>
    </x:row>
    <x:row r="7" ht="23" customHeight="1">
      <x:c r="A7" s="1"/>
      <x:c r="B7" s="14" t="d">
        <x:v>2026-09-16T00:00:00.000Z</x:v>
      </x:c>
      <x:c r="C7" s="6" t="n">
        <x:v>545</x:v>
      </x:c>
      <x:c r="D7" s="6" t="n">
        <x:v>114</x:v>
      </x:c>
      <x:c r="E7" s="6" t="n">
        <x:v>93</x:v>
      </x:c>
      <x:c r="F7" s="6" t="n">
        <x:v>10</x:v>
      </x:c>
      <x:c r="G7" s="6" t="n">
        <x:v>11</x:v>
      </x:c>
      <x:c r="H7" s="6" t="n">
        <x:v>53448</x:v>
      </x:c>
      <x:c r="I7" s="6" t="n">
        <x:v>49736</x:v>
      </x:c>
      <x:c r="J7" s="6" t="n">
        <x:v>632698</x:v>
      </x:c>
      <x:c r="K7" s="6" t="n">
        <x:v>1066</x:v>
      </x:c>
      <x:c r="L7" s="11" t="n">
        <x:f>E7/C7</x:f>
        <x:v>0.1706422018348624</x:v>
      </x:c>
      <x:c r="M7" s="15" t="n">
        <x:f>IF(H7=0,"n.a.",I7/H7)</x:f>
        <x:v>0.9305493189642269</x:v>
      </x:c>
      <x:c r="N7" s="1"/>
      <x:c r="O7" s="1"/>
      <x:c r="P7" s="1"/>
    </x:row>
    <x:row r="8" ht="23" customHeight="1">
      <x:c r="A8" s="1"/>
      <x:c r="B8" s="14" t="d">
        <x:v>2026-09-17T00:00:00.000Z</x:v>
      </x:c>
      <x:c r="C8" s="6" t="n">
        <x:v>1440</x:v>
      </x:c>
      <x:c r="D8" s="6" t="n">
        <x:v>144</x:v>
      </x:c>
      <x:c r="E8" s="6" t="n">
        <x:v>123</x:v>
      </x:c>
      <x:c r="F8" s="6" t="n">
        <x:v>21</x:v>
      </x:c>
      <x:c r="G8" s="6" t="n">
        <x:v>0</x:v>
      </x:c>
      <x:c r="H8" s="6" t="n">
        <x:v>69592</x:v>
      </x:c>
      <x:c r="I8" s="6" t="n">
        <x:v>63698</x:v>
      </x:c>
      <x:c r="J8" s="6" t="n">
        <x:v>801093</x:v>
      </x:c>
      <x:c r="K8" s="6" t="n">
        <x:v>1067</x:v>
      </x:c>
      <x:c r="L8" s="11" t="n">
        <x:f>E8/C8</x:f>
        <x:v>0.08541666666666667</x:v>
      </x:c>
      <x:c r="M8" s="15" t="n">
        <x:f>IF(H8=0,"n.a.",I8/H8)</x:f>
        <x:v>0.9153063570525348</x:v>
      </x:c>
      <x:c r="N8" s="1"/>
      <x:c r="O8" s="1"/>
      <x:c r="P8" s="1"/>
    </x:row>
    <x:row r="9" ht="23" customHeight="1">
      <x:c r="A9" s="1"/>
      <x:c r="B9" s="14" t="d">
        <x:v>2026-09-18T00:00:00.000Z</x:v>
      </x:c>
      <x:c r="C9" s="6" t="n">
        <x:v>1440</x:v>
      </x:c>
      <x:c r="D9" s="6" t="n">
        <x:v>322</x:v>
      </x:c>
      <x:c r="E9" s="6" t="n">
        <x:v>306</x:v>
      </x:c>
      <x:c r="F9" s="6" t="n">
        <x:v>16</x:v>
      </x:c>
      <x:c r="G9" s="6" t="n">
        <x:v>0</x:v>
      </x:c>
      <x:c r="H9" s="6" t="n">
        <x:v>157368</x:v>
      </x:c>
      <x:c r="I9" s="6" t="n">
        <x:v>149772</x:v>
      </x:c>
      <x:c r="J9" s="6" t="n">
        <x:v>1865840</x:v>
      </x:c>
      <x:c r="K9" s="6" t="n">
        <x:v>1067</x:v>
      </x:c>
      <x:c r="L9" s="11" t="n">
        <x:f>E9/C9</x:f>
        <x:v>0.2125</x:v>
      </x:c>
      <x:c r="M9" s="15" t="n">
        <x:f>IF(H9=0,"n.a.",I9/H9)</x:f>
        <x:v>0.9517309745310355</x:v>
      </x:c>
      <x:c r="N9" s="1"/>
      <x:c r="O9" s="1"/>
      <x:c r="P9" s="1"/>
    </x:row>
    <x:row r="10" ht="23" customHeight="1">
      <x:c r="A10" s="1"/>
      <x:c r="B10" s="14" t="d">
        <x:v>2026-09-19T00:00:00.000Z</x:v>
      </x:c>
      <x:c r="C10" s="6" t="n">
        <x:v>1440</x:v>
      </x:c>
      <x:c r="D10" s="6" t="n">
        <x:v>254</x:v>
      </x:c>
      <x:c r="E10" s="6" t="n">
        <x:v>233</x:v>
      </x:c>
      <x:c r="F10" s="6" t="n">
        <x:v>21</x:v>
      </x:c>
      <x:c r="G10" s="6" t="n">
        <x:v>0</x:v>
      </x:c>
      <x:c r="H10" s="6" t="n">
        <x:v>123868</x:v>
      </x:c>
      <x:c r="I10" s="6" t="n">
        <x:v>116484</x:v>
      </x:c>
      <x:c r="J10" s="6" t="n">
        <x:v>1416040</x:v>
      </x:c>
      <x:c r="K10" s="6" t="n">
        <x:v>1069</x:v>
      </x:c>
      <x:c r="L10" s="11" t="n">
        <x:f>E10/C10</x:f>
        <x:v>0.16180555555555556</x:v>
      </x:c>
      <x:c r="M10" s="15" t="n">
        <x:f>IF(H10=0,"n.a.",I10/H10)</x:f>
        <x:v>0.9403881551328834</x:v>
      </x:c>
      <x:c r="N10" s="1"/>
      <x:c r="O10" s="1"/>
      <x:c r="P10" s="1"/>
    </x:row>
    <x:row r="11" ht="23" customHeight="1">
      <x:c r="A11" s="1"/>
      <x:c r="B11" s="14" t="d">
        <x:v>2026-09-20T00:00:00.000Z</x:v>
      </x:c>
      <x:c r="C11" s="6" t="n">
        <x:v>1440</x:v>
      </x:c>
      <x:c r="D11" s="6" t="n">
        <x:v>61</x:v>
      </x:c>
      <x:c r="E11" s="6" t="n">
        <x:v>45</x:v>
      </x:c>
      <x:c r="F11" s="6" t="n">
        <x:v>16</x:v>
      </x:c>
      <x:c r="G11" s="6" t="n">
        <x:v>0</x:v>
      </x:c>
      <x:c r="H11" s="6" t="n">
        <x:v>24358</x:v>
      </x:c>
      <x:c r="I11" s="6" t="n">
        <x:v>22962</x:v>
      </x:c>
      <x:c r="J11" s="6" t="n">
        <x:v>275339</x:v>
      </x:c>
      <x:c r="K11" s="6" t="n">
        <x:v>1067</x:v>
      </x:c>
      <x:c r="L11" s="11" t="n">
        <x:f>E11/C11</x:f>
        <x:v>0.03125</x:v>
      </x:c>
      <x:c r="M11" s="15" t="n">
        <x:f>IF(H11=0,"n.a.",I11/H11)</x:f>
        <x:v>0.9426882338451433</x:v>
      </x:c>
      <x:c r="N11" s="1"/>
      <x:c r="O11" s="1"/>
      <x:c r="P11" s="1"/>
    </x:row>
    <x:row r="12" ht="23" customHeight="1">
      <x:c r="A12" s="1"/>
      <x:c r="B12" s="14" t="d">
        <x:v>2026-09-21T00:00:00.000Z</x:v>
      </x:c>
      <x:c r="C12" s="6" t="n">
        <x:v>1440</x:v>
      </x:c>
      <x:c r="D12" s="6" t="n">
        <x:v>11</x:v>
      </x:c>
      <x:c r="E12" s="6" t="n">
        <x:v>10</x:v>
      </x:c>
      <x:c r="F12" s="6" t="n">
        <x:v>1</x:v>
      </x:c>
      <x:c r="G12" s="6" t="n">
        <x:v>0</x:v>
      </x:c>
      <x:c r="H12" s="6" t="n">
        <x:v>5859</x:v>
      </x:c>
      <x:c r="I12" s="6" t="n">
        <x:v>5409</x:v>
      </x:c>
      <x:c r="J12" s="6" t="n">
        <x:v>65147</x:v>
      </x:c>
      <x:c r="K12" s="6" t="n">
        <x:v>1067</x:v>
      </x:c>
      <x:c r="L12" s="11" t="n">
        <x:f>E12/C12</x:f>
        <x:v>0.006944444444444444</x:v>
      </x:c>
      <x:c r="M12" s="15" t="n">
        <x:f>IF(H12=0,"n.a.",I12/H12)</x:f>
        <x:v>0.9231950844854071</x:v>
      </x:c>
      <x:c r="N12" s="1"/>
      <x:c r="O12" s="1"/>
      <x:c r="P12" s="1"/>
    </x:row>
    <x:row r="13" ht="23" customHeight="1">
      <x:c r="A13" s="1"/>
      <x:c r="B13" s="14" t="d">
        <x:v>2026-09-22T00:00:00.000Z</x:v>
      </x:c>
      <x:c r="C13" s="6" t="n">
        <x:v>1440</x:v>
      </x:c>
      <x:c r="D13" s="6" t="n">
        <x:v>292</x:v>
      </x:c>
      <x:c r="E13" s="6" t="n">
        <x:v>269</x:v>
      </x:c>
      <x:c r="F13" s="6" t="n">
        <x:v>22</x:v>
      </x:c>
      <x:c r="G13" s="6" t="n">
        <x:v>1</x:v>
      </x:c>
      <x:c r="H13" s="6" t="n">
        <x:v>149143</x:v>
      </x:c>
      <x:c r="I13" s="6" t="n">
        <x:v>140665</x:v>
      </x:c>
      <x:c r="J13" s="6" t="n">
        <x:v>1729076</x:v>
      </x:c>
      <x:c r="K13" s="6" t="n">
        <x:v>1067</x:v>
      </x:c>
      <x:c r="L13" s="11" t="n">
        <x:f>E13/C13</x:f>
        <x:v>0.18680555555555556</x:v>
      </x:c>
      <x:c r="M13" s="15" t="n">
        <x:f>IF(H13=0,"n.a.",I13/H13)</x:f>
        <x:v>0.9431552268628095</x:v>
      </x:c>
      <x:c r="N13" s="1"/>
      <x:c r="O13" s="1"/>
      <x:c r="P13" s="1"/>
    </x:row>
    <x:row r="14" ht="23" customHeight="1">
      <x:c r="A14" s="1"/>
      <x:c r="B14" s="14" t="d">
        <x:v>2026-09-23T00:00:00.000Z</x:v>
      </x:c>
      <x:c r="C14" s="6" t="n">
        <x:v>1440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11" t="n">
        <x:f>E14/C14</x:f>
        <x:v>0</x:v>
      </x:c>
      <x:c r="M14" s="15" t="str">
        <x:f>IF(H14=0,"n.a.",I14/H14)</x:f>
        <x:v>n.a.</x:v>
      </x:c>
      <x:c r="N14" s="1"/>
      <x:c r="O14" s="1"/>
      <x:c r="P14" s="1"/>
    </x:row>
    <x:row r="15" ht="23" customHeight="1">
      <x:c r="A15" s="1"/>
      <x:c r="B15" s="14" t="d">
        <x:v>2026-09-24T00:00:00.000Z</x:v>
      </x:c>
      <x:c r="C15" s="6" t="n">
        <x:v>1440</x:v>
      </x:c>
      <x:c r="D15" s="6" t="n">
        <x:v>0</x:v>
      </x:c>
      <x:c r="E15" s="6" t="n">
        <x:v>0</x:v>
      </x:c>
      <x:c r="F15" s="6" t="n">
        <x:v>0</x:v>
      </x:c>
      <x:c r="G15" s="6" t="n">
        <x:v>0</x:v>
      </x:c>
      <x:c r="H15" s="6" t="n">
        <x:v>0</x:v>
      </x:c>
      <x:c r="I15" s="6" t="n">
        <x:v>0</x:v>
      </x:c>
      <x:c r="J15" s="6" t="n">
        <x:v>0</x:v>
      </x:c>
      <x:c r="K15" s="6" t="n">
        <x:v>0</x:v>
      </x:c>
      <x:c r="L15" s="11" t="n">
        <x:f>E15/C15</x:f>
        <x:v>0</x:v>
      </x:c>
      <x:c r="M15" s="15" t="str">
        <x:f>IF(H15=0,"n.a.",I15/H15)</x:f>
        <x:v>n.a.</x:v>
      </x:c>
      <x:c r="N15" s="1"/>
      <x:c r="O15" s="1"/>
      <x:c r="P15" s="1"/>
    </x:row>
    <x:row r="16" ht="23" customHeight="1">
      <x:c r="A16" s="1"/>
      <x:c r="B16" s="14" t="d">
        <x:v>2026-09-25T00:00:00.000Z</x:v>
      </x:c>
      <x:c r="C16" s="6" t="n">
        <x:v>1440</x:v>
      </x:c>
      <x:c r="D16" s="6" t="n">
        <x:v>0</x:v>
      </x:c>
      <x:c r="E16" s="6" t="n">
        <x:v>0</x:v>
      </x:c>
      <x:c r="F16" s="6" t="n">
        <x:v>0</x:v>
      </x:c>
      <x:c r="G16" s="6" t="n">
        <x:v>0</x:v>
      </x:c>
      <x:c r="H16" s="6" t="n">
        <x:v>0</x:v>
      </x:c>
      <x:c r="I16" s="6" t="n">
        <x:v>0</x:v>
      </x:c>
      <x:c r="J16" s="6" t="n">
        <x:v>0</x:v>
      </x:c>
      <x:c r="K16" s="6" t="n">
        <x:v>0</x:v>
      </x:c>
      <x:c r="L16" s="11" t="n">
        <x:f>E16/C16</x:f>
        <x:v>0</x:v>
      </x:c>
      <x:c r="M16" s="15" t="str">
        <x:f>IF(H16=0,"n.a.",I16/H16)</x:f>
        <x:v>n.a.</x:v>
      </x:c>
      <x:c r="N16" s="1"/>
      <x:c r="O16" s="1"/>
      <x:c r="P16" s="1"/>
    </x:row>
    <x:row r="17" ht="23" customHeight="1">
      <x:c r="A17" s="1"/>
      <x:c r="B17" s="14" t="d">
        <x:v>2026-09-26T00:00:00.000Z</x:v>
      </x:c>
      <x:c r="C17" s="6" t="n">
        <x:v>1440</x:v>
      </x:c>
      <x:c r="D17" s="6" t="n">
        <x:v>0</x:v>
      </x:c>
      <x:c r="E17" s="6" t="n">
        <x:v>0</x:v>
      </x:c>
      <x:c r="F17" s="6" t="n">
        <x:v>0</x:v>
      </x:c>
      <x:c r="G17" s="6" t="n">
        <x:v>0</x:v>
      </x:c>
      <x:c r="H17" s="6" t="n">
        <x:v>0</x:v>
      </x:c>
      <x:c r="I17" s="6" t="n">
        <x:v>0</x:v>
      </x:c>
      <x:c r="J17" s="6" t="n">
        <x:v>0</x:v>
      </x:c>
      <x:c r="K17" s="6" t="n">
        <x:v>0</x:v>
      </x:c>
      <x:c r="L17" s="11" t="n">
        <x:f>E17/C17</x:f>
        <x:v>0</x:v>
      </x:c>
      <x:c r="M17" s="15" t="str">
        <x:f>IF(H17=0,"n.a.",I17/H17)</x:f>
        <x:v>n.a.</x:v>
      </x:c>
      <x:c r="N17" s="1"/>
      <x:c r="O17" s="1"/>
      <x:c r="P17" s="1"/>
    </x:row>
    <x:row r="18" ht="23" customHeight="1">
      <x:c r="A18" s="1"/>
      <x:c r="B18" s="14" t="d">
        <x:v>2026-09-27T00:00:00.000Z</x:v>
      </x:c>
      <x:c r="C18" s="6" t="n">
        <x:v>1440</x:v>
      </x:c>
      <x:c r="D18" s="6" t="n">
        <x:v>0</x:v>
      </x:c>
      <x:c r="E18" s="6" t="n">
        <x:v>0</x:v>
      </x:c>
      <x:c r="F18" s="6" t="n">
        <x:v>0</x:v>
      </x:c>
      <x:c r="G18" s="6" t="n">
        <x:v>0</x:v>
      </x:c>
      <x:c r="H18" s="6" t="n">
        <x:v>0</x:v>
      </x:c>
      <x:c r="I18" s="6" t="n">
        <x:v>0</x:v>
      </x:c>
      <x:c r="J18" s="6" t="n">
        <x:v>0</x:v>
      </x:c>
      <x:c r="K18" s="6" t="n">
        <x:v>0</x:v>
      </x:c>
      <x:c r="L18" s="11" t="n">
        <x:f>E18/C18</x:f>
        <x:v>0</x:v>
      </x:c>
      <x:c r="M18" s="15" t="str">
        <x:f>IF(H18=0,"n.a.",I18/H18)</x:f>
        <x:v>n.a.</x:v>
      </x:c>
      <x:c r="N18" s="1"/>
      <x:c r="O18" s="1"/>
      <x:c r="P18" s="1"/>
    </x:row>
    <x:row r="19" ht="23" customHeight="1">
      <x:c r="A19" s="1"/>
      <x:c r="B19" s="14" t="d">
        <x:v>2026-09-28T00:00:00.000Z</x:v>
      </x:c>
      <x:c r="C19" s="6" t="n">
        <x:v>1440</x:v>
      </x:c>
      <x:c r="D19" s="6" t="n">
        <x:v>0</x:v>
      </x:c>
      <x:c r="E19" s="6" t="n">
        <x:v>0</x:v>
      </x:c>
      <x:c r="F19" s="6" t="n">
        <x:v>0</x:v>
      </x:c>
      <x:c r="G19" s="6" t="n">
        <x:v>0</x:v>
      </x:c>
      <x:c r="H19" s="6" t="n">
        <x:v>0</x:v>
      </x:c>
      <x:c r="I19" s="6" t="n">
        <x:v>0</x:v>
      </x:c>
      <x:c r="J19" s="6" t="n">
        <x:v>0</x:v>
      </x:c>
      <x:c r="K19" s="6" t="n">
        <x:v>0</x:v>
      </x:c>
      <x:c r="L19" s="11" t="n">
        <x:f>E19/C19</x:f>
        <x:v>0</x:v>
      </x:c>
      <x:c r="M19" s="15" t="str">
        <x:f>IF(H19=0,"n.a.",I19/H19)</x:f>
        <x:v>n.a.</x:v>
      </x:c>
      <x:c r="N19" s="1"/>
      <x:c r="O19" s="1"/>
      <x:c r="P19" s="1"/>
    </x:row>
    <x:row r="20" ht="23" customHeight="1">
      <x:c r="A20" s="1"/>
      <x:c r="B20" s="14" t="d">
        <x:v>2026-09-29T00:00:00.000Z</x:v>
      </x:c>
      <x:c r="C20" s="6" t="n">
        <x:v>1440</x:v>
      </x:c>
      <x:c r="D20" s="6" t="n">
        <x:v>0</x:v>
      </x:c>
      <x:c r="E20" s="6" t="n">
        <x:v>0</x:v>
      </x:c>
      <x:c r="F20" s="6" t="n">
        <x:v>0</x:v>
      </x:c>
      <x:c r="G20" s="6" t="n">
        <x:v>0</x:v>
      </x:c>
      <x:c r="H20" s="6" t="n">
        <x:v>0</x:v>
      </x:c>
      <x:c r="I20" s="6" t="n">
        <x:v>0</x:v>
      </x:c>
      <x:c r="J20" s="6" t="n">
        <x:v>0</x:v>
      </x:c>
      <x:c r="K20" s="6" t="n">
        <x:v>0</x:v>
      </x:c>
      <x:c r="L20" s="11" t="n">
        <x:f>E20/C20</x:f>
        <x:v>0</x:v>
      </x:c>
      <x:c r="M20" s="15" t="str">
        <x:f>IF(H20=0,"n.a.",I20/H20)</x:f>
        <x:v>n.a.</x:v>
      </x:c>
      <x:c r="N20" s="1"/>
      <x:c r="O20" s="1"/>
      <x:c r="P20" s="1"/>
    </x:row>
    <x:row r="21" ht="23" customHeight="1">
      <x:c r="A21" s="1"/>
      <x:c r="B21" s="14" t="d">
        <x:v>2026-09-30T00:00:00.000Z</x:v>
      </x:c>
      <x:c r="C21" s="6" t="n">
        <x:v>1440</x:v>
      </x:c>
      <x:c r="D21" s="6" t="n">
        <x:v>0</x:v>
      </x:c>
      <x:c r="E21" s="6" t="n">
        <x:v>0</x:v>
      </x:c>
      <x:c r="F21" s="6" t="n">
        <x:v>0</x:v>
      </x:c>
      <x:c r="G21" s="6" t="n">
        <x:v>0</x:v>
      </x:c>
      <x:c r="H21" s="6" t="n">
        <x:v>0</x:v>
      </x:c>
      <x:c r="I21" s="6" t="n">
        <x:v>0</x:v>
      </x:c>
      <x:c r="J21" s="6" t="n">
        <x:v>0</x:v>
      </x:c>
      <x:c r="K21" s="6" t="n">
        <x:v>0</x:v>
      </x:c>
      <x:c r="L21" s="11" t="n">
        <x:f>E21/C21</x:f>
        <x:v>0</x:v>
      </x:c>
      <x:c r="M21" s="15" t="str">
        <x:f>IF(H21=0,"n.a.",I21/H21)</x:f>
        <x:v>n.a.</x:v>
      </x:c>
      <x:c r="N21" s="1"/>
      <x:c r="O21" s="1"/>
      <x:c r="P21" s="1"/>
    </x:row>
    <x:row r="22" ht="23" customHeight="1">
      <x:c r="A22" s="1"/>
      <x:c r="B22" s="14" t="d">
        <x:v>2026-10-01T00:00:00.000Z</x:v>
      </x:c>
      <x:c r="C22" s="6" t="n">
        <x:v>1440</x:v>
      </x:c>
      <x:c r="D22" s="6" t="n">
        <x:v>0</x:v>
      </x:c>
      <x:c r="E22" s="6" t="n">
        <x:v>0</x:v>
      </x:c>
      <x:c r="F22" s="6" t="n">
        <x:v>0</x:v>
      </x:c>
      <x:c r="G22" s="6" t="n">
        <x:v>0</x:v>
      </x:c>
      <x:c r="H22" s="6" t="n">
        <x:v>0</x:v>
      </x:c>
      <x:c r="I22" s="6" t="n">
        <x:v>0</x:v>
      </x:c>
      <x:c r="J22" s="6" t="n">
        <x:v>0</x:v>
      </x:c>
      <x:c r="K22" s="6" t="n">
        <x:v>0</x:v>
      </x:c>
      <x:c r="L22" s="11" t="n">
        <x:f>E22/C22</x:f>
        <x:v>0</x:v>
      </x:c>
      <x:c r="M22" s="15" t="str">
        <x:f>IF(H22=0,"n.a.",I22/H22)</x:f>
        <x:v>n.a.</x:v>
      </x:c>
      <x:c r="N22" s="1"/>
      <x:c r="O22" s="1"/>
      <x:c r="P22" s="1"/>
    </x:row>
    <x:row r="23" ht="23" customHeight="1">
      <x:c r="A23" s="1"/>
      <x:c r="B23" s="14" t="d">
        <x:v>2026-10-02T00:00:00.000Z</x:v>
      </x:c>
      <x:c r="C23" s="6" t="n">
        <x:v>1440</x:v>
      </x:c>
      <x:c r="D23" s="6" t="n">
        <x:v>0</x:v>
      </x:c>
      <x:c r="E23" s="6" t="n">
        <x:v>0</x:v>
      </x:c>
      <x:c r="F23" s="6" t="n">
        <x:v>0</x:v>
      </x:c>
      <x:c r="G23" s="6" t="n">
        <x:v>0</x:v>
      </x:c>
      <x:c r="H23" s="6" t="n">
        <x:v>0</x:v>
      </x:c>
      <x:c r="I23" s="6" t="n">
        <x:v>0</x:v>
      </x:c>
      <x:c r="J23" s="6" t="n">
        <x:v>0</x:v>
      </x:c>
      <x:c r="K23" s="6" t="n">
        <x:v>0</x:v>
      </x:c>
      <x:c r="L23" s="11" t="n">
        <x:f>E23/C23</x:f>
        <x:v>0</x:v>
      </x:c>
      <x:c r="M23" s="15" t="str">
        <x:f>IF(H23=0,"n.a.",I23/H23)</x:f>
        <x:v>n.a.</x:v>
      </x:c>
      <x:c r="N23" s="1"/>
      <x:c r="O23" s="1"/>
      <x:c r="P23" s="1"/>
    </x:row>
    <x:row r="24" ht="23" customHeight="1">
      <x:c r="A24" s="1"/>
      <x:c r="B24" s="14" t="d">
        <x:v>2026-10-03T00:00:00.000Z</x:v>
      </x:c>
      <x:c r="C24" s="6" t="n">
        <x:v>1440</x:v>
      </x:c>
      <x:c r="D24" s="6" t="n">
        <x:v>0</x:v>
      </x:c>
      <x:c r="E24" s="6" t="n">
        <x:v>0</x:v>
      </x:c>
      <x:c r="F24" s="6" t="n">
        <x:v>0</x:v>
      </x:c>
      <x:c r="G24" s="6" t="n">
        <x:v>0</x:v>
      </x:c>
      <x:c r="H24" s="6" t="n">
        <x:v>0</x:v>
      </x:c>
      <x:c r="I24" s="6" t="n">
        <x:v>0</x:v>
      </x:c>
      <x:c r="J24" s="6" t="n">
        <x:v>0</x:v>
      </x:c>
      <x:c r="K24" s="6" t="n">
        <x:v>0</x:v>
      </x:c>
      <x:c r="L24" s="11" t="n">
        <x:f>E24/C24</x:f>
        <x:v>0</x:v>
      </x:c>
      <x:c r="M24" s="15" t="str">
        <x:f>IF(H24=0,"n.a.",I24/H24)</x:f>
        <x:v>n.a.</x:v>
      </x:c>
      <x:c r="N24" s="1"/>
      <x:c r="O24" s="1"/>
      <x:c r="P24" s="1"/>
    </x:row>
    <x:row r="25" ht="23" customHeight="1">
      <x:c r="A25" s="1"/>
      <x:c r="B25" s="14" t="d">
        <x:v>2026-10-04T00:00:00.000Z</x:v>
      </x:c>
      <x:c r="C25" s="6" t="n">
        <x:v>1440</x:v>
      </x:c>
      <x:c r="D25" s="6" t="n">
        <x:v>0</x:v>
      </x:c>
      <x:c r="E25" s="6" t="n">
        <x:v>0</x:v>
      </x:c>
      <x:c r="F25" s="6" t="n">
        <x:v>0</x:v>
      </x:c>
      <x:c r="G25" s="6" t="n">
        <x:v>0</x:v>
      </x:c>
      <x:c r="H25" s="6" t="n">
        <x:v>0</x:v>
      </x:c>
      <x:c r="I25" s="6" t="n">
        <x:v>0</x:v>
      </x:c>
      <x:c r="J25" s="6" t="n">
        <x:v>0</x:v>
      </x:c>
      <x:c r="K25" s="6" t="n">
        <x:v>0</x:v>
      </x:c>
      <x:c r="L25" s="11" t="n">
        <x:f>E25/C25</x:f>
        <x:v>0</x:v>
      </x:c>
      <x:c r="M25" s="15" t="str">
        <x:f>IF(H25=0,"n.a.",I25/H25)</x:f>
        <x:v>n.a.</x:v>
      </x:c>
      <x:c r="N25" s="1"/>
      <x:c r="O25" s="1"/>
      <x:c r="P25" s="1"/>
    </x:row>
    <x:row r="26" ht="23" customHeight="1">
      <x:c r="A26" s="1"/>
      <x:c r="B26" s="14" t="d">
        <x:v>2026-10-05T00:00:00.000Z</x:v>
      </x:c>
      <x:c r="C26" s="6" t="n">
        <x:v>1440</x:v>
      </x:c>
      <x:c r="D26" s="6" t="n">
        <x:v>0</x:v>
      </x:c>
      <x:c r="E26" s="6" t="n">
        <x:v>0</x:v>
      </x:c>
      <x:c r="F26" s="6" t="n">
        <x:v>0</x:v>
      </x:c>
      <x:c r="G26" s="6" t="n">
        <x:v>0</x:v>
      </x:c>
      <x:c r="H26" s="6" t="n">
        <x:v>0</x:v>
      </x:c>
      <x:c r="I26" s="6" t="n">
        <x:v>0</x:v>
      </x:c>
      <x:c r="J26" s="6" t="n">
        <x:v>0</x:v>
      </x:c>
      <x:c r="K26" s="6" t="n">
        <x:v>0</x:v>
      </x:c>
      <x:c r="L26" s="11" t="n">
        <x:f>E26/C26</x:f>
        <x:v>0</x:v>
      </x:c>
      <x:c r="M26" s="15" t="str">
        <x:f>IF(H26=0,"n.a.",I26/H26)</x:f>
        <x:v>n.a.</x:v>
      </x:c>
      <x:c r="N26" s="1"/>
      <x:c r="O26" s="1"/>
      <x:c r="P26" s="1"/>
    </x:row>
    <x:row r="27" ht="23" customHeight="1">
      <x:c r="A27" s="1"/>
      <x:c r="B27" s="14" t="d">
        <x:v>2026-10-06T00:00:00.000Z</x:v>
      </x:c>
      <x:c r="C27" s="6" t="n">
        <x:v>1440</x:v>
      </x:c>
      <x:c r="D27" s="6" t="n">
        <x:v>0</x:v>
      </x:c>
      <x:c r="E27" s="6" t="n">
        <x:v>0</x:v>
      </x:c>
      <x:c r="F27" s="6" t="n">
        <x:v>0</x:v>
      </x:c>
      <x:c r="G27" s="6" t="n">
        <x:v>0</x:v>
      </x:c>
      <x:c r="H27" s="6" t="n">
        <x:v>0</x:v>
      </x:c>
      <x:c r="I27" s="6" t="n">
        <x:v>0</x:v>
      </x:c>
      <x:c r="J27" s="6" t="n">
        <x:v>0</x:v>
      </x:c>
      <x:c r="K27" s="6" t="n">
        <x:v>0</x:v>
      </x:c>
      <x:c r="L27" s="11" t="n">
        <x:f>E27/C27</x:f>
        <x:v>0</x:v>
      </x:c>
      <x:c r="M27" s="15" t="str">
        <x:f>IF(H27=0,"n.a.",I27/H27)</x:f>
        <x:v>n.a.</x:v>
      </x:c>
      <x:c r="N27" s="1"/>
      <x:c r="O27" s="1"/>
      <x:c r="P27" s="1"/>
    </x:row>
    <x:row r="28" ht="23" customHeight="1">
      <x:c r="A28" s="1"/>
      <x:c r="B28" s="14" t="d">
        <x:v>2026-10-07T00:00:00.000Z</x:v>
      </x:c>
      <x:c r="C28" s="6" t="n">
        <x:v>1440</x:v>
      </x:c>
      <x:c r="D28" s="6" t="n">
        <x:v>0</x:v>
      </x:c>
      <x:c r="E28" s="6" t="n">
        <x:v>0</x:v>
      </x:c>
      <x:c r="F28" s="6" t="n">
        <x:v>0</x:v>
      </x:c>
      <x:c r="G28" s="6" t="n">
        <x:v>0</x:v>
      </x:c>
      <x:c r="H28" s="6" t="n">
        <x:v>0</x:v>
      </x:c>
      <x:c r="I28" s="6" t="n">
        <x:v>0</x:v>
      </x:c>
      <x:c r="J28" s="6" t="n">
        <x:v>0</x:v>
      </x:c>
      <x:c r="K28" s="6" t="n">
        <x:v>0</x:v>
      </x:c>
      <x:c r="L28" s="11" t="n">
        <x:f>E28/C28</x:f>
        <x:v>0</x:v>
      </x:c>
      <x:c r="M28" s="15" t="str">
        <x:f>IF(H28=0,"n.a.",I28/H28)</x:f>
        <x:v>n.a.</x:v>
      </x:c>
      <x:c r="N28" s="1"/>
      <x:c r="O28" s="1"/>
      <x:c r="P28" s="1"/>
    </x:row>
    <x:row r="29" ht="23" customHeight="1">
      <x:c r="A29" s="1"/>
      <x:c r="B29" s="14" t="d">
        <x:v>2026-10-08T00:00:00.000Z</x:v>
      </x:c>
      <x:c r="C29" s="6" t="n">
        <x:v>1440</x:v>
      </x:c>
      <x:c r="D29" s="6" t="n">
        <x:v>0</x:v>
      </x:c>
      <x:c r="E29" s="6" t="n">
        <x:v>0</x:v>
      </x:c>
      <x:c r="F29" s="6" t="n">
        <x:v>0</x:v>
      </x:c>
      <x:c r="G29" s="6" t="n">
        <x:v>0</x:v>
      </x:c>
      <x:c r="H29" s="6" t="n">
        <x:v>0</x:v>
      </x:c>
      <x:c r="I29" s="6" t="n">
        <x:v>0</x:v>
      </x:c>
      <x:c r="J29" s="6" t="n">
        <x:v>0</x:v>
      </x:c>
      <x:c r="K29" s="6" t="n">
        <x:v>0</x:v>
      </x:c>
      <x:c r="L29" s="11" t="n">
        <x:f>E29/C29</x:f>
        <x:v>0</x:v>
      </x:c>
      <x:c r="M29" s="15" t="str">
        <x:f>IF(H29=0,"n.a.",I29/H29)</x:f>
        <x:v>n.a.</x:v>
      </x:c>
      <x:c r="N29" s="1"/>
      <x:c r="O29" s="1"/>
      <x:c r="P29" s="1"/>
    </x:row>
    <x:row r="30" ht="23" customHeight="1">
      <x:c r="A30" s="1"/>
      <x:c r="B30" s="14" t="d">
        <x:v>2026-10-09T00:00:00.000Z</x:v>
      </x:c>
      <x:c r="C30" s="6" t="n">
        <x:v>1440</x:v>
      </x:c>
      <x:c r="D30" s="6" t="n">
        <x:v>0</x:v>
      </x:c>
      <x:c r="E30" s="6" t="n">
        <x:v>0</x:v>
      </x:c>
      <x:c r="F30" s="6" t="n">
        <x:v>0</x:v>
      </x:c>
      <x:c r="G30" s="6" t="n">
        <x:v>0</x:v>
      </x:c>
      <x:c r="H30" s="6" t="n">
        <x:v>0</x:v>
      </x:c>
      <x:c r="I30" s="6" t="n">
        <x:v>0</x:v>
      </x:c>
      <x:c r="J30" s="6" t="n">
        <x:v>0</x:v>
      </x:c>
      <x:c r="K30" s="6" t="n">
        <x:v>0</x:v>
      </x:c>
      <x:c r="L30" s="11" t="n">
        <x:f>E30/C30</x:f>
        <x:v>0</x:v>
      </x:c>
      <x:c r="M30" s="15" t="str">
        <x:f>IF(H30=0,"n.a.",I30/H30)</x:f>
        <x:v>n.a.</x:v>
      </x:c>
      <x:c r="N30" s="1"/>
      <x:c r="O30" s="1"/>
      <x:c r="P30" s="1"/>
    </x:row>
    <x:row r="31" ht="23" customHeight="1">
      <x:c r="A31" s="1"/>
      <x:c r="B31" s="14" t="d">
        <x:v>2026-10-10T00:00:00.000Z</x:v>
      </x:c>
      <x:c r="C31" s="6" t="n">
        <x:v>1440</x:v>
      </x:c>
      <x:c r="D31" s="6" t="n">
        <x:v>0</x:v>
      </x:c>
      <x:c r="E31" s="6" t="n">
        <x:v>0</x:v>
      </x:c>
      <x:c r="F31" s="6" t="n">
        <x:v>0</x:v>
      </x:c>
      <x:c r="G31" s="6" t="n">
        <x:v>0</x:v>
      </x:c>
      <x:c r="H31" s="6" t="n">
        <x:v>0</x:v>
      </x:c>
      <x:c r="I31" s="6" t="n">
        <x:v>0</x:v>
      </x:c>
      <x:c r="J31" s="6" t="n">
        <x:v>0</x:v>
      </x:c>
      <x:c r="K31" s="6" t="n">
        <x:v>0</x:v>
      </x:c>
      <x:c r="L31" s="11" t="n">
        <x:f>E31/C31</x:f>
        <x:v>0</x:v>
      </x:c>
      <x:c r="M31" s="15" t="str">
        <x:f>IF(H31=0,"n.a.",I31/H31)</x:f>
        <x:v>n.a.</x:v>
      </x:c>
      <x:c r="N31" s="1"/>
      <x:c r="O31" s="1"/>
      <x:c r="P31" s="1"/>
    </x:row>
    <x:row r="32" ht="23" customHeight="1">
      <x:c r="A32" s="1"/>
      <x:c r="B32" s="14" t="d">
        <x:v>2026-10-11T00:00:00.000Z</x:v>
      </x:c>
      <x:c r="C32" s="6" t="n">
        <x:v>1440</x:v>
      </x:c>
      <x:c r="D32" s="6" t="n">
        <x:v>0</x:v>
      </x:c>
      <x:c r="E32" s="6" t="n">
        <x:v>0</x:v>
      </x:c>
      <x:c r="F32" s="6" t="n">
        <x:v>0</x:v>
      </x:c>
      <x:c r="G32" s="6" t="n">
        <x:v>0</x:v>
      </x:c>
      <x:c r="H32" s="6" t="n">
        <x:v>0</x:v>
      </x:c>
      <x:c r="I32" s="6" t="n">
        <x:v>0</x:v>
      </x:c>
      <x:c r="J32" s="6" t="n">
        <x:v>0</x:v>
      </x:c>
      <x:c r="K32" s="6" t="n">
        <x:v>0</x:v>
      </x:c>
      <x:c r="L32" s="11" t="n">
        <x:f>E32/C32</x:f>
        <x:v>0</x:v>
      </x:c>
      <x:c r="M32" s="15" t="str">
        <x:f>IF(H32=0,"n.a.",I32/H32)</x:f>
        <x:v>n.a.</x:v>
      </x:c>
      <x:c r="N32" s="1"/>
      <x:c r="O32" s="1"/>
      <x:c r="P32" s="1"/>
    </x:row>
    <x:row r="33" ht="23" customHeight="1">
      <x:c r="A33" s="1"/>
      <x:c r="B33" s="14" t="d">
        <x:v>2026-10-12T00:00:00.000Z</x:v>
      </x:c>
      <x:c r="C33" s="6" t="n">
        <x:v>1440</x:v>
      </x:c>
      <x:c r="D33" s="6" t="n">
        <x:v>0</x:v>
      </x:c>
      <x:c r="E33" s="6" t="n">
        <x:v>0</x:v>
      </x:c>
      <x:c r="F33" s="6" t="n">
        <x:v>0</x:v>
      </x:c>
      <x:c r="G33" s="6" t="n">
        <x:v>0</x:v>
      </x:c>
      <x:c r="H33" s="6" t="n">
        <x:v>0</x:v>
      </x:c>
      <x:c r="I33" s="6" t="n">
        <x:v>0</x:v>
      </x:c>
      <x:c r="J33" s="6" t="n">
        <x:v>0</x:v>
      </x:c>
      <x:c r="K33" s="6" t="n">
        <x:v>0</x:v>
      </x:c>
      <x:c r="L33" s="11" t="n">
        <x:f>E33/C33</x:f>
        <x:v>0</x:v>
      </x:c>
      <x:c r="M33" s="15" t="str">
        <x:f>IF(H33=0,"n.a.",I33/H33)</x:f>
        <x:v>n.a.</x:v>
      </x:c>
      <x:c r="N33" s="1"/>
      <x:c r="O33" s="1"/>
      <x:c r="P33" s="1"/>
    </x:row>
    <x:row r="34" ht="23" customHeight="1">
      <x:c r="A34" s="1"/>
      <x:c r="B34" s="14" t="d">
        <x:v>2026-10-13T00:00:00.000Z</x:v>
      </x:c>
      <x:c r="C34" s="6" t="n">
        <x:v>1440</x:v>
      </x:c>
      <x:c r="D34" s="6" t="n">
        <x:v>0</x:v>
      </x:c>
      <x:c r="E34" s="6" t="n">
        <x:v>0</x:v>
      </x:c>
      <x:c r="F34" s="6" t="n">
        <x:v>0</x:v>
      </x:c>
      <x:c r="G34" s="6" t="n">
        <x:v>0</x:v>
      </x:c>
      <x:c r="H34" s="6" t="n">
        <x:v>0</x:v>
      </x:c>
      <x:c r="I34" s="6" t="n">
        <x:v>0</x:v>
      </x:c>
      <x:c r="J34" s="6" t="n">
        <x:v>0</x:v>
      </x:c>
      <x:c r="K34" s="6" t="n">
        <x:v>0</x:v>
      </x:c>
      <x:c r="L34" s="11" t="n">
        <x:f>E34/C34</x:f>
        <x:v>0</x:v>
      </x:c>
      <x:c r="M34" s="15" t="str">
        <x:f>IF(H34=0,"n.a.",I34/H34)</x:f>
        <x:v>n.a.</x:v>
      </x:c>
      <x:c r="N34" s="1"/>
      <x:c r="O34" s="1"/>
      <x:c r="P34" s="1"/>
    </x:row>
    <x:row r="35" ht="23" customHeight="1">
      <x:c r="A35" s="1"/>
      <x:c r="B35" s="14" t="d">
        <x:v>2026-10-14T00:00:00.000Z</x:v>
      </x:c>
      <x:c r="C35" s="6" t="n">
        <x:v>1440</x:v>
      </x:c>
      <x:c r="D35" s="6" t="n">
        <x:v>212</x:v>
      </x:c>
      <x:c r="E35" s="6" t="n">
        <x:v>166</x:v>
      </x:c>
      <x:c r="F35" s="6" t="n">
        <x:v>17</x:v>
      </x:c>
      <x:c r="G35" s="6" t="n">
        <x:v>29</x:v>
      </x:c>
      <x:c r="H35" s="6" t="n">
        <x:v>95000</x:v>
      </x:c>
      <x:c r="I35" s="6" t="n">
        <x:v>90614</x:v>
      </x:c>
      <x:c r="J35" s="6" t="n">
        <x:v>1133728</x:v>
      </x:c>
      <x:c r="K35" s="6" t="n">
        <x:v>1072</x:v>
      </x:c>
      <x:c r="L35" s="11" t="n">
        <x:f>E35/C35</x:f>
        <x:v>0.11527777777777778</x:v>
      </x:c>
      <x:c r="M35" s="15" t="n">
        <x:f>IF(H35=0,"n.a.",I35/H35)</x:f>
        <x:v>0.9538315789473685</x:v>
      </x:c>
      <x:c r="N35" s="1"/>
      <x:c r="O35" s="1"/>
      <x:c r="P35" s="1"/>
    </x:row>
    <x:row r="36" ht="23" customHeight="1">
      <x:c r="A36" s="1"/>
      <x:c r="B36" s="14" t="d">
        <x:v>2026-10-15T00:00:00.000Z</x:v>
      </x:c>
      <x:c r="C36" s="6" t="n">
        <x:v>1440</x:v>
      </x:c>
      <x:c r="D36" s="6" t="n">
        <x:v>124</x:v>
      </x:c>
      <x:c r="E36" s="6" t="n">
        <x:v>85</x:v>
      </x:c>
      <x:c r="F36" s="6" t="n">
        <x:v>39</x:v>
      </x:c>
      <x:c r="G36" s="6" t="n">
        <x:v>0</x:v>
      </x:c>
      <x:c r="H36" s="6" t="n">
        <x:v>57552</x:v>
      </x:c>
      <x:c r="I36" s="6" t="n">
        <x:v>52935</x:v>
      </x:c>
      <x:c r="J36" s="6" t="n">
        <x:v>647532</x:v>
      </x:c>
      <x:c r="K36" s="6" t="n">
        <x:v>1072</x:v>
      </x:c>
      <x:c r="L36" s="11" t="n">
        <x:f>E36/C36</x:f>
        <x:v>0.059027777777777776</x:v>
      </x:c>
      <x:c r="M36" s="15" t="n">
        <x:f>IF(H36=0,"n.a.",I36/H36)</x:f>
        <x:v>0.9197768974145121</x:v>
      </x:c>
      <x:c r="N36" s="1"/>
      <x:c r="O36" s="1"/>
      <x:c r="P36" s="1"/>
    </x:row>
    <x:row r="37" ht="23" customHeight="1">
      <x:c r="A37" s="1"/>
      <x:c r="B37" s="14" t="d">
        <x:v>2026-10-16T00:00:00.000Z</x:v>
      </x:c>
      <x:c r="C37" s="6" t="n">
        <x:v>1440</x:v>
      </x:c>
      <x:c r="D37" s="6" t="n">
        <x:v>96</x:v>
      </x:c>
      <x:c r="E37" s="6" t="n">
        <x:v>68</x:v>
      </x:c>
      <x:c r="F37" s="6" t="n">
        <x:v>28</x:v>
      </x:c>
      <x:c r="G37" s="6" t="n">
        <x:v>0</x:v>
      </x:c>
      <x:c r="H37" s="6" t="n">
        <x:v>45937</x:v>
      </x:c>
      <x:c r="I37" s="6" t="n">
        <x:v>43122</x:v>
      </x:c>
      <x:c r="J37" s="6" t="n">
        <x:v>519016</x:v>
      </x:c>
      <x:c r="K37" s="6" t="n">
        <x:v>1069</x:v>
      </x:c>
      <x:c r="L37" s="11" t="n">
        <x:f>E37/C37</x:f>
        <x:v>0.04722222222222222</x:v>
      </x:c>
      <x:c r="M37" s="15" t="n">
        <x:f>IF(H37=0,"n.a.",I37/H37)</x:f>
        <x:v>0.938720421446764</x:v>
      </x:c>
      <x:c r="N37" s="1"/>
      <x:c r="O37" s="1"/>
      <x:c r="P37" s="1"/>
    </x:row>
    <x:row r="38" ht="23" customHeight="1">
      <x:c r="A38" s="1"/>
      <x:c r="B38" s="14" t="d">
        <x:v>2026-10-17T00:00:00.000Z</x:v>
      </x:c>
      <x:c r="C38" s="6" t="n">
        <x:v>780</x:v>
      </x:c>
      <x:c r="D38" s="6" t="n">
        <x:v>117</x:v>
      </x:c>
      <x:c r="E38" s="6" t="n">
        <x:v>105</x:v>
      </x:c>
      <x:c r="F38" s="6" t="n">
        <x:v>12</x:v>
      </x:c>
      <x:c r="G38" s="6" t="n">
        <x:v>0</x:v>
      </x:c>
      <x:c r="H38" s="6" t="n">
        <x:v>58158</x:v>
      </x:c>
      <x:c r="I38" s="6" t="n">
        <x:v>54989</x:v>
      </x:c>
      <x:c r="J38" s="6" t="n">
        <x:v>650626</x:v>
      </x:c>
      <x:c r="K38" s="6" t="n">
        <x:v>1069</x:v>
      </x:c>
      <x:c r="L38" s="11" t="n">
        <x:f>E38/C38</x:f>
        <x:v>0.1346153846153846</x:v>
      </x:c>
      <x:c r="M38" s="15" t="n">
        <x:f>IF(H38=0,"n.a.",I38/H38)</x:f>
        <x:v>0.9455105058633378</x:v>
      </x:c>
      <x:c r="N38" s="1"/>
      <x:c r="O38" s="1"/>
      <x:c r="P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</x:sheetData>
  <x:pageMargins left="0.7" right="0.7" top="0.75" bottom="0.75" header="0.3" footer="0.3"/>
  <x:tableParts count="1">
    <x:tablePart xmlns:r="http://schemas.openxmlformats.org/officeDocument/2006/relationships" r:id="R7feb14fe12b34c5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2" hidden="0" customWidth="1"/>
    <x:col min="3" max="3" width="16" hidden="0" customWidth="1"/>
    <x:col min="4" max="4" width="17" hidden="0" customWidth="1"/>
    <x:col min="5" max="5" width="17" hidden="0" customWidth="1"/>
    <x:col min="6" max="6" width="18" hidden="0" customWidth="1"/>
    <x:col min="7" max="7" width="18" hidden="0" customWidth="1"/>
    <x:col min="8" max="8" width="15" hidden="0" customWidth="1"/>
    <x:col min="9" max="9" width="18" hidden="0" customWidth="1"/>
    <x:col min="10" max="10" width="17" hidden="0" customWidth="1"/>
    <x:col min="12" max="12" width="18" hidden="0" customWidth="1"/>
    <x:col min="13" max="13" width="18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1" customHeight="1">
      <x:c r="A2" s="1"/>
      <x:c r="B2" s="2" t="str">
        <x:v>Availability by local hour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1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1"/>
      <x:c r="O3" s="1"/>
      <x:c r="P3" s="1"/>
    </x:row>
    <x:row r="4" ht="21" customHeight="1">
      <x:c r="A4" s="1"/>
      <x:c r="B4" s="4" t="str">
        <x:v>Report-weighted comparisons. Uneven date and station mixes prevent causal conclusions.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0" customHeight="1">
      <x:c r="A6" s="1"/>
      <x:c r="B6" s="10" t="str">
        <x:v>Hour</x:v>
      </x:c>
      <x:c r="C6" s="10" t="str">
        <x:v>Day type</x:v>
      </x:c>
      <x:c r="D6" s="10" t="str">
        <x:v>Reports</x:v>
      </x:c>
      <x:c r="E6" s="10" t="str">
        <x:v>Available</x:v>
      </x:c>
      <x:c r="F6" s="10" t="str">
        <x:v>Docks sum</x:v>
      </x:c>
      <x:c r="G6" s="10" t="str">
        <x:v>Observed dates</x:v>
      </x:c>
      <x:c r="H6" s="10" t="str">
        <x:v>Stations</x:v>
      </x:c>
      <x:c r="I6" s="10" t="str">
        <x:v>Availability</x:v>
      </x:c>
      <x:c r="J6" s="10" t="str">
        <x:v>Mean docks</x:v>
      </x:c>
      <x:c r="K6" s="1"/>
      <x:c r="L6" s="1" t="str">
        <x:v>Day type</x:v>
      </x:c>
      <x:c r="M6" s="16" t="str">
        <x:v>Weekday</x:v>
      </x:c>
      <x:c r="N6" s="1"/>
      <x:c r="O6" s="1"/>
      <x:c r="P6" s="1"/>
    </x:row>
    <x:row r="7" ht="23" customHeight="1">
      <x:c r="A7" s="1"/>
      <x:c r="B7" s="6" t="n">
        <x:v>0</x:v>
      </x:c>
      <x:c r="C7" s="6" t="str">
        <x:v>Weekday</x:v>
      </x:c>
      <x:c r="D7" s="6" t="n">
        <x:v>49042</x:v>
      </x:c>
      <x:c r="E7" s="6" t="n">
        <x:v>44545</x:v>
      </x:c>
      <x:c r="F7" s="6" t="n">
        <x:v>546859</x:v>
      </x:c>
      <x:c r="G7" s="6" t="n">
        <x:v>5</x:v>
      </x:c>
      <x:c r="H7" s="6" t="n">
        <x:v>1074</x:v>
      </x:c>
      <x:c r="I7" s="11" t="n">
        <x:f>E7/D7</x:f>
        <x:v>0.90830308714979</x:v>
      </x:c>
      <x:c r="J7" s="13" t="n">
        <x:f>F7/D7</x:f>
        <x:v>11.150829900901268</x:v>
      </x:c>
      <x:c r="K7" s="1"/>
      <x:c r="L7" s="1"/>
      <x:c r="M7" s="1"/>
      <x:c r="N7" s="1"/>
      <x:c r="O7" s="1"/>
      <x:c r="P7" s="1"/>
    </x:row>
    <x:row r="8" ht="23" customHeight="1">
      <x:c r="A8" s="1"/>
      <x:c r="B8" s="6" t="n">
        <x:v>1</x:v>
      </x:c>
      <x:c r="C8" s="6" t="str">
        <x:v>Weekday</x:v>
      </x:c>
      <x:c r="D8" s="6" t="n">
        <x:v>18446</x:v>
      </x:c>
      <x:c r="E8" s="6" t="n">
        <x:v>16727</x:v>
      </x:c>
      <x:c r="F8" s="6" t="n">
        <x:v>205378</x:v>
      </x:c>
      <x:c r="G8" s="6" t="n">
        <x:v>4</x:v>
      </x:c>
      <x:c r="H8" s="6" t="n">
        <x:v>1074</x:v>
      </x:c>
      <x:c r="I8" s="11" t="n">
        <x:f>E8/D8</x:f>
        <x:v>0.9068090642957822</x:v>
      </x:c>
      <x:c r="J8" s="13" t="n">
        <x:f>F8/D8</x:f>
        <x:v>11.134012794101702</x:v>
      </x:c>
      <x:c r="K8" s="1"/>
      <x:c r="L8" s="1" t="str">
        <x:v>Local hour</x:v>
      </x:c>
      <x:c r="M8" s="1" t="str">
        <x:v>Availability</x:v>
      </x:c>
      <x:c r="N8" s="1"/>
      <x:c r="O8" s="1"/>
      <x:c r="P8" s="1"/>
    </x:row>
    <x:row r="9" ht="23" customHeight="1">
      <x:c r="A9" s="1"/>
      <x:c r="B9" s="6" t="n">
        <x:v>2</x:v>
      </x:c>
      <x:c r="C9" s="6" t="str">
        <x:v>Weekday</x:v>
      </x:c>
      <x:c r="D9" s="6" t="n">
        <x:v>51784</x:v>
      </x:c>
      <x:c r="E9" s="6" t="n">
        <x:v>47279</x:v>
      </x:c>
      <x:c r="F9" s="6" t="n">
        <x:v>574669</x:v>
      </x:c>
      <x:c r="G9" s="6" t="n">
        <x:v>4</x:v>
      </x:c>
      <x:c r="H9" s="6" t="n">
        <x:v>1074</x:v>
      </x:c>
      <x:c r="I9" s="11" t="n">
        <x:f>E9/D9</x:f>
        <x:v>0.9130040166846902</x:v>
      </x:c>
      <x:c r="J9" s="13" t="n">
        <x:f>F9/D9</x:f>
        <x:v>11.097423914722695</x:v>
      </x:c>
      <x:c r="K9" s="1"/>
      <x:c r="L9" s="1" t="str">
        <x:v>00:00</x:v>
      </x:c>
      <x:c r="M9" s="18" t="n">
        <x:f>IF(OR(SUMIFS(D$7:D$51,B$7:B$51,0,C$7:C$51,$M$6)&lt;100,SUMIFS(G$7:G$51,B$7:B$51,0,C$7:C$51,$M$6)&lt;3),"n.a.",SUMIFS(E$7:E$51,B$7:B$51,0,C$7:C$51,$M$6)/SUMIFS(D$7:D$51,B$7:B$51,0,C$7:C$51,$M$6))</x:f>
        <x:v>0.90830308714979</x:v>
      </x:c>
      <x:c r="N9" s="1"/>
      <x:c r="O9" s="1"/>
      <x:c r="P9" s="1"/>
    </x:row>
    <x:row r="10" ht="23" customHeight="1">
      <x:c r="A10" s="1"/>
      <x:c r="B10" s="6" t="n">
        <x:v>3</x:v>
      </x:c>
      <x:c r="C10" s="6" t="str">
        <x:v>Weekday</x:v>
      </x:c>
      <x:c r="D10" s="6" t="n">
        <x:v>25902</x:v>
      </x:c>
      <x:c r="E10" s="6" t="n">
        <x:v>23630</x:v>
      </x:c>
      <x:c r="F10" s="6" t="n">
        <x:v>286922</x:v>
      </x:c>
      <x:c r="G10" s="6" t="n">
        <x:v>3</x:v>
      </x:c>
      <x:c r="H10" s="6" t="n">
        <x:v>1074</x:v>
      </x:c>
      <x:c r="I10" s="11" t="n">
        <x:f>E10/D10</x:f>
        <x:v>0.9122847656551618</x:v>
      </x:c>
      <x:c r="J10" s="13" t="n">
        <x:f>F10/D10</x:f>
        <x:v>11.077214114740174</x:v>
      </x:c>
      <x:c r="K10" s="1"/>
      <x:c r="L10" s="1" t="str">
        <x:v>01:00</x:v>
      </x:c>
      <x:c r="M10" s="18" t="n">
        <x:f>IF(OR(SUMIFS(D$7:D$51,B$7:B$51,1,C$7:C$51,$M$6)&lt;100,SUMIFS(G$7:G$51,B$7:B$51,1,C$7:C$51,$M$6)&lt;3),"n.a.",SUMIFS(E$7:E$51,B$7:B$51,1,C$7:C$51,$M$6)/SUMIFS(D$7:D$51,B$7:B$51,1,C$7:C$51,$M$6))</x:f>
        <x:v>0.9068090642957822</x:v>
      </x:c>
      <x:c r="N10" s="1"/>
      <x:c r="O10" s="1"/>
      <x:c r="P10" s="1"/>
    </x:row>
    <x:row r="11" ht="23" customHeight="1">
      <x:c r="A11" s="1"/>
      <x:c r="B11" s="6" t="n">
        <x:v>4</x:v>
      </x:c>
      <x:c r="C11" s="6" t="str">
        <x:v>Weekday</x:v>
      </x:c>
      <x:c r="D11" s="6" t="n">
        <x:v>15020</x:v>
      </x:c>
      <x:c r="E11" s="6" t="n">
        <x:v>13781</x:v>
      </x:c>
      <x:c r="F11" s="6" t="n">
        <x:v>166684</x:v>
      </x:c>
      <x:c r="G11" s="6" t="n">
        <x:v>4</x:v>
      </x:c>
      <x:c r="H11" s="6" t="n">
        <x:v>1074</x:v>
      </x:c>
      <x:c r="I11" s="11" t="n">
        <x:f>E11/D11</x:f>
        <x:v>0.9175099866844207</x:v>
      </x:c>
      <x:c r="J11" s="13" t="n">
        <x:f>F11/D11</x:f>
        <x:v>11.097470039946737</x:v>
      </x:c>
      <x:c r="K11" s="1"/>
      <x:c r="L11" s="1" t="str">
        <x:v>02:00</x:v>
      </x:c>
      <x:c r="M11" s="18" t="n">
        <x:f>IF(OR(SUMIFS(D$7:D$51,B$7:B$51,2,C$7:C$51,$M$6)&lt;100,SUMIFS(G$7:G$51,B$7:B$51,2,C$7:C$51,$M$6)&lt;3),"n.a.",SUMIFS(E$7:E$51,B$7:B$51,2,C$7:C$51,$M$6)/SUMIFS(D$7:D$51,B$7:B$51,2,C$7:C$51,$M$6))</x:f>
        <x:v>0.9130040166846902</x:v>
      </x:c>
      <x:c r="N11" s="1"/>
      <x:c r="O11" s="1"/>
      <x:c r="P11" s="1"/>
    </x:row>
    <x:row r="12" ht="23" customHeight="1">
      <x:c r="A12" s="1"/>
      <x:c r="B12" s="6" t="n">
        <x:v>5</x:v>
      </x:c>
      <x:c r="C12" s="6" t="str">
        <x:v>Weekday</x:v>
      </x:c>
      <x:c r="D12" s="6" t="n">
        <x:v>7945</x:v>
      </x:c>
      <x:c r="E12" s="6" t="n">
        <x:v>7436</x:v>
      </x:c>
      <x:c r="F12" s="6" t="n">
        <x:v>87428</x:v>
      </x:c>
      <x:c r="G12" s="6" t="n">
        <x:v>2</x:v>
      </x:c>
      <x:c r="H12" s="6" t="n">
        <x:v>1073</x:v>
      </x:c>
      <x:c r="I12" s="11" t="n">
        <x:f>E12/D12</x:f>
        <x:v>0.9359345500314663</x:v>
      </x:c>
      <x:c r="J12" s="13" t="n">
        <x:f>F12/D12</x:f>
        <x:v>11.004153555695407</x:v>
      </x:c>
      <x:c r="K12" s="1"/>
      <x:c r="L12" s="1" t="str">
        <x:v>03:00</x:v>
      </x:c>
      <x:c r="M12" s="18" t="n">
        <x:f>IF(OR(SUMIFS(D$7:D$51,B$7:B$51,3,C$7:C$51,$M$6)&lt;100,SUMIFS(G$7:G$51,B$7:B$51,3,C$7:C$51,$M$6)&lt;3),"n.a.",SUMIFS(E$7:E$51,B$7:B$51,3,C$7:C$51,$M$6)/SUMIFS(D$7:D$51,B$7:B$51,3,C$7:C$51,$M$6))</x:f>
        <x:v>0.9122847656551618</x:v>
      </x:c>
      <x:c r="N12" s="1"/>
      <x:c r="O12" s="1"/>
      <x:c r="P12" s="1"/>
    </x:row>
    <x:row r="13" ht="23" customHeight="1">
      <x:c r="A13" s="1"/>
      <x:c r="B13" s="6" t="n">
        <x:v>6</x:v>
      </x:c>
      <x:c r="C13" s="6" t="str">
        <x:v>Weekday</x:v>
      </x:c>
      <x:c r="D13" s="6" t="n">
        <x:v>8728</x:v>
      </x:c>
      <x:c r="E13" s="6" t="n">
        <x:v>8311</x:v>
      </x:c>
      <x:c r="F13" s="6" t="n">
        <x:v>96269</x:v>
      </x:c>
      <x:c r="G13" s="6" t="n">
        <x:v>3</x:v>
      </x:c>
      <x:c r="H13" s="6" t="n">
        <x:v>1074</x:v>
      </x:c>
      <x:c r="I13" s="11" t="n">
        <x:f>E13/D13</x:f>
        <x:v>0.9522227314390468</x:v>
      </x:c>
      <x:c r="J13" s="13" t="n">
        <x:f>F13/D13</x:f>
        <x:v>11.029903758020165</x:v>
      </x:c>
      <x:c r="K13" s="1"/>
      <x:c r="L13" s="1" t="str">
        <x:v>04:00</x:v>
      </x:c>
      <x:c r="M13" s="18" t="n">
        <x:f>IF(OR(SUMIFS(D$7:D$51,B$7:B$51,4,C$7:C$51,$M$6)&lt;100,SUMIFS(G$7:G$51,B$7:B$51,4,C$7:C$51,$M$6)&lt;3),"n.a.",SUMIFS(E$7:E$51,B$7:B$51,4,C$7:C$51,$M$6)/SUMIFS(D$7:D$51,B$7:B$51,4,C$7:C$51,$M$6))</x:f>
        <x:v>0.9175099866844207</x:v>
      </x:c>
      <x:c r="N13" s="1"/>
      <x:c r="O13" s="1"/>
      <x:c r="P13" s="1"/>
    </x:row>
    <x:row r="14" ht="23" customHeight="1">
      <x:c r="A14" s="1"/>
      <x:c r="B14" s="6" t="n">
        <x:v>7</x:v>
      </x:c>
      <x:c r="C14" s="6" t="str">
        <x:v>Weekday</x:v>
      </x:c>
      <x:c r="D14" s="6" t="n">
        <x:v>1314</x:v>
      </x:c>
      <x:c r="E14" s="6" t="n">
        <x:v>1286</x:v>
      </x:c>
      <x:c r="F14" s="6" t="n">
        <x:v>14989</x:v>
      </x:c>
      <x:c r="G14" s="6" t="n">
        <x:v>1</x:v>
      </x:c>
      <x:c r="H14" s="6" t="n">
        <x:v>1065</x:v>
      </x:c>
      <x:c r="I14" s="11" t="n">
        <x:f>E14/D14</x:f>
        <x:v>0.9786910197869102</x:v>
      </x:c>
      <x:c r="J14" s="13" t="n">
        <x:f>F14/D14</x:f>
        <x:v>11.407153729071537</x:v>
      </x:c>
      <x:c r="K14" s="1"/>
      <x:c r="L14" s="1" t="str">
        <x:v>05:00</x:v>
      </x:c>
      <x:c r="M14" s="18" t="str">
        <x:f>IF(OR(SUMIFS(D$7:D$51,B$7:B$51,5,C$7:C$51,$M$6)&lt;100,SUMIFS(G$7:G$51,B$7:B$51,5,C$7:C$51,$M$6)&lt;3),"n.a.",SUMIFS(E$7:E$51,B$7:B$51,5,C$7:C$51,$M$6)/SUMIFS(D$7:D$51,B$7:B$51,5,C$7:C$51,$M$6))</x:f>
        <x:v>n.a.</x:v>
      </x:c>
      <x:c r="N14" s="1"/>
      <x:c r="O14" s="1"/>
      <x:c r="P14" s="1"/>
    </x:row>
    <x:row r="15" ht="23" customHeight="1">
      <x:c r="A15" s="1"/>
      <x:c r="B15" s="6" t="n">
        <x:v>8</x:v>
      </x:c>
      <x:c r="C15" s="6" t="str">
        <x:v>Weekday</x:v>
      </x:c>
      <x:c r="D15" s="6" t="n">
        <x:v>7492</x:v>
      </x:c>
      <x:c r="E15" s="6" t="n">
        <x:v>7262</x:v>
      </x:c>
      <x:c r="F15" s="6" t="n">
        <x:v>88163</x:v>
      </x:c>
      <x:c r="G15" s="6" t="n">
        <x:v>4</x:v>
      </x:c>
      <x:c r="H15" s="6" t="n">
        <x:v>1074</x:v>
      </x:c>
      <x:c r="I15" s="11" t="n">
        <x:f>E15/D15</x:f>
        <x:v>0.9693005872931126</x:v>
      </x:c>
      <x:c r="J15" s="13" t="n">
        <x:f>F15/D15</x:f>
        <x:v>11.767618793379604</x:v>
      </x:c>
      <x:c r="K15" s="1"/>
      <x:c r="L15" s="1" t="str">
        <x:v>06:00</x:v>
      </x:c>
      <x:c r="M15" s="18" t="n">
        <x:f>IF(OR(SUMIFS(D$7:D$51,B$7:B$51,6,C$7:C$51,$M$6)&lt;100,SUMIFS(G$7:G$51,B$7:B$51,6,C$7:C$51,$M$6)&lt;3),"n.a.",SUMIFS(E$7:E$51,B$7:B$51,6,C$7:C$51,$M$6)/SUMIFS(D$7:D$51,B$7:B$51,6,C$7:C$51,$M$6))</x:f>
        <x:v>0.9522227314390468</x:v>
      </x:c>
      <x:c r="N15" s="1"/>
      <x:c r="O15" s="1"/>
      <x:c r="P15" s="1"/>
    </x:row>
    <x:row r="16" ht="23" customHeight="1">
      <x:c r="A16" s="1"/>
      <x:c r="B16" s="6" t="n">
        <x:v>9</x:v>
      </x:c>
      <x:c r="C16" s="6" t="str">
        <x:v>Weekday</x:v>
      </x:c>
      <x:c r="D16" s="6" t="n">
        <x:v>2444</x:v>
      </x:c>
      <x:c r="E16" s="6" t="n">
        <x:v>2319</x:v>
      </x:c>
      <x:c r="F16" s="6" t="n">
        <x:v>29915</x:v>
      </x:c>
      <x:c r="G16" s="6" t="n">
        <x:v>2</x:v>
      </x:c>
      <x:c r="H16" s="6" t="n">
        <x:v>1073</x:v>
      </x:c>
      <x:c r="I16" s="11" t="n">
        <x:f>E16/D16</x:f>
        <x:v>0.9488543371522095</x:v>
      </x:c>
      <x:c r="J16" s="13" t="n">
        <x:f>F16/D16</x:f>
        <x:v>12.240180032733225</x:v>
      </x:c>
      <x:c r="K16" s="1"/>
      <x:c r="L16" s="1" t="str">
        <x:v>07:00</x:v>
      </x:c>
      <x:c r="M16" s="18" t="str">
        <x:f>IF(OR(SUMIFS(D$7:D$51,B$7:B$51,7,C$7:C$51,$M$6)&lt;100,SUMIFS(G$7:G$51,B$7:B$51,7,C$7:C$51,$M$6)&lt;3),"n.a.",SUMIFS(E$7:E$51,B$7:B$51,7,C$7:C$51,$M$6)/SUMIFS(D$7:D$51,B$7:B$51,7,C$7:C$51,$M$6))</x:f>
        <x:v>n.a.</x:v>
      </x:c>
      <x:c r="N16" s="1"/>
      <x:c r="O16" s="1"/>
      <x:c r="P16" s="1"/>
    </x:row>
    <x:row r="17" ht="23" customHeight="1">
      <x:c r="A17" s="1"/>
      <x:c r="B17" s="6" t="n">
        <x:v>10</x:v>
      </x:c>
      <x:c r="C17" s="6" t="str">
        <x:v>Weekday</x:v>
      </x:c>
      <x:c r="D17" s="6" t="n">
        <x:v>2</x:v>
      </x:c>
      <x:c r="E17" s="6" t="n">
        <x:v>2</x:v>
      </x:c>
      <x:c r="F17" s="6" t="n">
        <x:v>7</x:v>
      </x:c>
      <x:c r="G17" s="6" t="n">
        <x:v>1</x:v>
      </x:c>
      <x:c r="H17" s="6" t="n">
        <x:v>2</x:v>
      </x:c>
      <x:c r="I17" s="11" t="n">
        <x:f>E17/D17</x:f>
        <x:v>1</x:v>
      </x:c>
      <x:c r="J17" s="13" t="n">
        <x:f>F17/D17</x:f>
        <x:v>3.5</x:v>
      </x:c>
      <x:c r="K17" s="1"/>
      <x:c r="L17" s="1" t="str">
        <x:v>08:00</x:v>
      </x:c>
      <x:c r="M17" s="18" t="n">
        <x:f>IF(OR(SUMIFS(D$7:D$51,B$7:B$51,8,C$7:C$51,$M$6)&lt;100,SUMIFS(G$7:G$51,B$7:B$51,8,C$7:C$51,$M$6)&lt;3),"n.a.",SUMIFS(E$7:E$51,B$7:B$51,8,C$7:C$51,$M$6)/SUMIFS(D$7:D$51,B$7:B$51,8,C$7:C$51,$M$6))</x:f>
        <x:v>0.9693005872931126</x:v>
      </x:c>
      <x:c r="N17" s="1"/>
      <x:c r="O17" s="1"/>
      <x:c r="P17" s="1"/>
    </x:row>
    <x:row r="18" ht="23" customHeight="1">
      <x:c r="A18" s="1"/>
      <x:c r="B18" s="6" t="n">
        <x:v>11</x:v>
      </x:c>
      <x:c r="C18" s="6" t="str">
        <x:v>Weekday</x:v>
      </x:c>
      <x:c r="D18" s="6" t="n">
        <x:v>16693</x:v>
      </x:c>
      <x:c r="E18" s="6" t="n">
        <x:v>16030</x:v>
      </x:c>
      <x:c r="F18" s="6" t="n">
        <x:v>202408</x:v>
      </x:c>
      <x:c r="G18" s="6" t="n">
        <x:v>4</x:v>
      </x:c>
      <x:c r="H18" s="6" t="n">
        <x:v>1074</x:v>
      </x:c>
      <x:c r="I18" s="11" t="n">
        <x:f>E18/D18</x:f>
        <x:v>0.9602827532498652</x:v>
      </x:c>
      <x:c r="J18" s="13" t="n">
        <x:f>F18/D18</x:f>
        <x:v>12.125321991253818</x:v>
      </x:c>
      <x:c r="K18" s="1"/>
      <x:c r="L18" s="1" t="str">
        <x:v>09:00</x:v>
      </x:c>
      <x:c r="M18" s="18" t="str">
        <x:f>IF(OR(SUMIFS(D$7:D$51,B$7:B$51,9,C$7:C$51,$M$6)&lt;100,SUMIFS(G$7:G$51,B$7:B$51,9,C$7:C$51,$M$6)&lt;3),"n.a.",SUMIFS(E$7:E$51,B$7:B$51,9,C$7:C$51,$M$6)/SUMIFS(D$7:D$51,B$7:B$51,9,C$7:C$51,$M$6))</x:f>
        <x:v>n.a.</x:v>
      </x:c>
      <x:c r="N18" s="1"/>
      <x:c r="O18" s="1"/>
      <x:c r="P18" s="1"/>
    </x:row>
    <x:row r="19" ht="23" customHeight="1">
      <x:c r="A19" s="1"/>
      <x:c r="B19" s="6" t="n">
        <x:v>12</x:v>
      </x:c>
      <x:c r="C19" s="6" t="str">
        <x:v>Weekday</x:v>
      </x:c>
      <x:c r="D19" s="6" t="n">
        <x:v>16436</x:v>
      </x:c>
      <x:c r="E19" s="6" t="n">
        <x:v>15855</x:v>
      </x:c>
      <x:c r="F19" s="6" t="n">
        <x:v>198538</x:v>
      </x:c>
      <x:c r="G19" s="6" t="n">
        <x:v>4</x:v>
      </x:c>
      <x:c r="H19" s="6" t="n">
        <x:v>1074</x:v>
      </x:c>
      <x:c r="I19" s="11" t="n">
        <x:f>E19/D19</x:f>
        <x:v>0.9646507666098807</x:v>
      </x:c>
      <x:c r="J19" s="13" t="n">
        <x:f>F19/D19</x:f>
        <x:v>12.079459722560234</x:v>
      </x:c>
      <x:c r="K19" s="1"/>
      <x:c r="L19" s="1" t="str">
        <x:v>10:00</x:v>
      </x:c>
      <x:c r="M19" s="18" t="str">
        <x:f>IF(OR(SUMIFS(D$7:D$51,B$7:B$51,10,C$7:C$51,$M$6)&lt;100,SUMIFS(G$7:G$51,B$7:B$51,10,C$7:C$51,$M$6)&lt;3),"n.a.",SUMIFS(E$7:E$51,B$7:B$51,10,C$7:C$51,$M$6)/SUMIFS(D$7:D$51,B$7:B$51,10,C$7:C$51,$M$6))</x:f>
        <x:v>n.a.</x:v>
      </x:c>
      <x:c r="N19" s="1"/>
      <x:c r="O19" s="1"/>
      <x:c r="P19" s="1"/>
    </x:row>
    <x:row r="20" ht="23" customHeight="1">
      <x:c r="A20" s="1"/>
      <x:c r="B20" s="6" t="n">
        <x:v>13</x:v>
      </x:c>
      <x:c r="C20" s="6" t="str">
        <x:v>Weekday</x:v>
      </x:c>
      <x:c r="D20" s="6" t="n">
        <x:v>62278</x:v>
      </x:c>
      <x:c r="E20" s="6" t="n">
        <x:v>59924</x:v>
      </x:c>
      <x:c r="F20" s="6" t="n">
        <x:v>754207</x:v>
      </x:c>
      <x:c r="G20" s="6" t="n">
        <x:v>5</x:v>
      </x:c>
      <x:c r="H20" s="6" t="n">
        <x:v>1074</x:v>
      </x:c>
      <x:c r="I20" s="11" t="n">
        <x:f>E20/D20</x:f>
        <x:v>0.9622017405825493</x:v>
      </x:c>
      <x:c r="J20" s="13" t="n">
        <x:f>F20/D20</x:f>
        <x:v>12.110327884646264</x:v>
      </x:c>
      <x:c r="K20" s="1"/>
      <x:c r="L20" s="1" t="str">
        <x:v>11:00</x:v>
      </x:c>
      <x:c r="M20" s="18" t="n">
        <x:f>IF(OR(SUMIFS(D$7:D$51,B$7:B$51,11,C$7:C$51,$M$6)&lt;100,SUMIFS(G$7:G$51,B$7:B$51,11,C$7:C$51,$M$6)&lt;3),"n.a.",SUMIFS(E$7:E$51,B$7:B$51,11,C$7:C$51,$M$6)/SUMIFS(D$7:D$51,B$7:B$51,11,C$7:C$51,$M$6))</x:f>
        <x:v>0.9602827532498652</x:v>
      </x:c>
      <x:c r="N20" s="1"/>
      <x:c r="O20" s="1"/>
      <x:c r="P20" s="1"/>
    </x:row>
    <x:row r="21" ht="23" customHeight="1">
      <x:c r="A21" s="1"/>
      <x:c r="B21" s="6" t="n">
        <x:v>14</x:v>
      </x:c>
      <x:c r="C21" s="6" t="str">
        <x:v>Weekday</x:v>
      </x:c>
      <x:c r="D21" s="6" t="n">
        <x:v>72109</x:v>
      </x:c>
      <x:c r="E21" s="6" t="n">
        <x:v>69422</x:v>
      </x:c>
      <x:c r="F21" s="6" t="n">
        <x:v>869783</x:v>
      </x:c>
      <x:c r="G21" s="6" t="n">
        <x:v>5</x:v>
      </x:c>
      <x:c r="H21" s="6" t="n">
        <x:v>1074</x:v>
      </x:c>
      <x:c r="I21" s="11" t="n">
        <x:f>E21/D21</x:f>
        <x:v>0.9627369676462023</x:v>
      </x:c>
      <x:c r="J21" s="13" t="n">
        <x:f>F21/D21</x:f>
        <x:v>12.062058827608205</x:v>
      </x:c>
      <x:c r="K21" s="1"/>
      <x:c r="L21" s="1" t="str">
        <x:v>12:00</x:v>
      </x:c>
      <x:c r="M21" s="18" t="n">
        <x:f>IF(OR(SUMIFS(D$7:D$51,B$7:B$51,12,C$7:C$51,$M$6)&lt;100,SUMIFS(G$7:G$51,B$7:B$51,12,C$7:C$51,$M$6)&lt;3),"n.a.",SUMIFS(E$7:E$51,B$7:B$51,12,C$7:C$51,$M$6)/SUMIFS(D$7:D$51,B$7:B$51,12,C$7:C$51,$M$6))</x:f>
        <x:v>0.9646507666098807</x:v>
      </x:c>
      <x:c r="N21" s="1"/>
      <x:c r="O21" s="1"/>
      <x:c r="P21" s="1"/>
    </x:row>
    <x:row r="22" ht="23" customHeight="1">
      <x:c r="A22" s="1"/>
      <x:c r="B22" s="6" t="n">
        <x:v>15</x:v>
      </x:c>
      <x:c r="C22" s="6" t="str">
        <x:v>Weekday</x:v>
      </x:c>
      <x:c r="D22" s="6" t="n">
        <x:v>68099</x:v>
      </x:c>
      <x:c r="E22" s="6" t="n">
        <x:v>65770</x:v>
      </x:c>
      <x:c r="F22" s="6" t="n">
        <x:v>825419</x:v>
      </x:c>
      <x:c r="G22" s="6" t="n">
        <x:v>7</x:v>
      </x:c>
      <x:c r="H22" s="6" t="n">
        <x:v>1074</x:v>
      </x:c>
      <x:c r="I22" s="11" t="n">
        <x:f>E22/D22</x:f>
        <x:v>0.9657997914800511</x:v>
      </x:c>
      <x:c r="J22" s="13" t="n">
        <x:f>F22/D22</x:f>
        <x:v>12.12086814784358</x:v>
      </x:c>
      <x:c r="K22" s="1"/>
      <x:c r="L22" s="1" t="str">
        <x:v>13:00</x:v>
      </x:c>
      <x:c r="M22" s="18" t="n">
        <x:f>IF(OR(SUMIFS(D$7:D$51,B$7:B$51,13,C$7:C$51,$M$6)&lt;100,SUMIFS(G$7:G$51,B$7:B$51,13,C$7:C$51,$M$6)&lt;3),"n.a.",SUMIFS(E$7:E$51,B$7:B$51,13,C$7:C$51,$M$6)/SUMIFS(D$7:D$51,B$7:B$51,13,C$7:C$51,$M$6))</x:f>
        <x:v>0.9622017405825493</x:v>
      </x:c>
      <x:c r="N22" s="1"/>
      <x:c r="O22" s="1"/>
      <x:c r="P22" s="1"/>
    </x:row>
    <x:row r="23" ht="23" customHeight="1">
      <x:c r="A23" s="1"/>
      <x:c r="B23" s="6" t="n">
        <x:v>16</x:v>
      </x:c>
      <x:c r="C23" s="6" t="str">
        <x:v>Weekday</x:v>
      </x:c>
      <x:c r="D23" s="6" t="n">
        <x:v>41993</x:v>
      </x:c>
      <x:c r="E23" s="6" t="n">
        <x:v>40232</x:v>
      </x:c>
      <x:c r="F23" s="6" t="n">
        <x:v>508042</x:v>
      </x:c>
      <x:c r="G23" s="6" t="n">
        <x:v>5</x:v>
      </x:c>
      <x:c r="H23" s="6" t="n">
        <x:v>1074</x:v>
      </x:c>
      <x:c r="I23" s="11" t="n">
        <x:f>E23/D23</x:f>
        <x:v>0.9580644393113138</x:v>
      </x:c>
      <x:c r="J23" s="13" t="n">
        <x:f>F23/D23</x:f>
        <x:v>12.098254470983258</x:v>
      </x:c>
      <x:c r="K23" s="1"/>
      <x:c r="L23" s="1" t="str">
        <x:v>14:00</x:v>
      </x:c>
      <x:c r="M23" s="18" t="n">
        <x:f>IF(OR(SUMIFS(D$7:D$51,B$7:B$51,14,C$7:C$51,$M$6)&lt;100,SUMIFS(G$7:G$51,B$7:B$51,14,C$7:C$51,$M$6)&lt;3),"n.a.",SUMIFS(E$7:E$51,B$7:B$51,14,C$7:C$51,$M$6)/SUMIFS(D$7:D$51,B$7:B$51,14,C$7:C$51,$M$6))</x:f>
        <x:v>0.9627369676462023</x:v>
      </x:c>
      <x:c r="N23" s="1"/>
      <x:c r="O23" s="1"/>
      <x:c r="P23" s="1"/>
    </x:row>
    <x:row r="24" ht="23" customHeight="1">
      <x:c r="A24" s="1"/>
      <x:c r="B24" s="6" t="n">
        <x:v>17</x:v>
      </x:c>
      <x:c r="C24" s="6" t="str">
        <x:v>Weekday</x:v>
      </x:c>
      <x:c r="D24" s="6" t="n">
        <x:v>46900</x:v>
      </x:c>
      <x:c r="E24" s="6" t="n">
        <x:v>44575</x:v>
      </x:c>
      <x:c r="F24" s="6" t="n">
        <x:v>565518</x:v>
      </x:c>
      <x:c r="G24" s="6" t="n">
        <x:v>6</x:v>
      </x:c>
      <x:c r="H24" s="6" t="n">
        <x:v>1074</x:v>
      </x:c>
      <x:c r="I24" s="11" t="n">
        <x:f>E24/D24</x:f>
        <x:v>0.9504264392324094</x:v>
      </x:c>
      <x:c r="J24" s="13" t="n">
        <x:f>F24/D24</x:f>
        <x:v>12.057953091684436</x:v>
      </x:c>
      <x:c r="K24" s="1"/>
      <x:c r="L24" s="1" t="str">
        <x:v>15:00</x:v>
      </x:c>
      <x:c r="M24" s="18" t="n">
        <x:f>IF(OR(SUMIFS(D$7:D$51,B$7:B$51,15,C$7:C$51,$M$6)&lt;100,SUMIFS(G$7:G$51,B$7:B$51,15,C$7:C$51,$M$6)&lt;3),"n.a.",SUMIFS(E$7:E$51,B$7:B$51,15,C$7:C$51,$M$6)/SUMIFS(D$7:D$51,B$7:B$51,15,C$7:C$51,$M$6))</x:f>
        <x:v>0.9657997914800511</x:v>
      </x:c>
      <x:c r="N24" s="1"/>
      <x:c r="O24" s="1"/>
      <x:c r="P24" s="1"/>
    </x:row>
    <x:row r="25" ht="23" customHeight="1">
      <x:c r="A25" s="1"/>
      <x:c r="B25" s="6" t="n">
        <x:v>18</x:v>
      </x:c>
      <x:c r="C25" s="6" t="str">
        <x:v>Weekday</x:v>
      </x:c>
      <x:c r="D25" s="6" t="n">
        <x:v>3272</x:v>
      </x:c>
      <x:c r="E25" s="6" t="n">
        <x:v>3094</x:v>
      </x:c>
      <x:c r="F25" s="6" t="n">
        <x:v>38876</x:v>
      </x:c>
      <x:c r="G25" s="6" t="n">
        <x:v>3</x:v>
      </x:c>
      <x:c r="H25" s="6" t="n">
        <x:v>1074</x:v>
      </x:c>
      <x:c r="I25" s="11" t="n">
        <x:f>E25/D25</x:f>
        <x:v>0.94559902200489</x:v>
      </x:c>
      <x:c r="J25" s="13" t="n">
        <x:f>F25/D25</x:f>
        <x:v>11.881418092909536</x:v>
      </x:c>
      <x:c r="K25" s="1"/>
      <x:c r="L25" s="1" t="str">
        <x:v>16:00</x:v>
      </x:c>
      <x:c r="M25" s="18" t="n">
        <x:f>IF(OR(SUMIFS(D$7:D$51,B$7:B$51,16,C$7:C$51,$M$6)&lt;100,SUMIFS(G$7:G$51,B$7:B$51,16,C$7:C$51,$M$6)&lt;3),"n.a.",SUMIFS(E$7:E$51,B$7:B$51,16,C$7:C$51,$M$6)/SUMIFS(D$7:D$51,B$7:B$51,16,C$7:C$51,$M$6))</x:f>
        <x:v>0.9580644393113138</x:v>
      </x:c>
      <x:c r="N25" s="1"/>
      <x:c r="O25" s="1"/>
      <x:c r="P25" s="1"/>
    </x:row>
    <x:row r="26" ht="23" customHeight="1">
      <x:c r="A26" s="1"/>
      <x:c r="B26" s="6" t="n">
        <x:v>19</x:v>
      </x:c>
      <x:c r="C26" s="6" t="str">
        <x:v>Weekday</x:v>
      </x:c>
      <x:c r="D26" s="6" t="n">
        <x:v>4277</x:v>
      </x:c>
      <x:c r="E26" s="6" t="n">
        <x:v>4009</x:v>
      </x:c>
      <x:c r="F26" s="6" t="n">
        <x:v>49001</x:v>
      </x:c>
      <x:c r="G26" s="6" t="n">
        <x:v>5</x:v>
      </x:c>
      <x:c r="H26" s="6" t="n">
        <x:v>1074</x:v>
      </x:c>
      <x:c r="I26" s="11" t="n">
        <x:f>E26/D26</x:f>
        <x:v>0.9373392564881926</x:v>
      </x:c>
      <x:c r="J26" s="13" t="n">
        <x:f>F26/D26</x:f>
        <x:v>11.456862286649521</x:v>
      </x:c>
      <x:c r="K26" s="1"/>
      <x:c r="L26" s="1" t="str">
        <x:v>17:00</x:v>
      </x:c>
      <x:c r="M26" s="18" t="n">
        <x:f>IF(OR(SUMIFS(D$7:D$51,B$7:B$51,17,C$7:C$51,$M$6)&lt;100,SUMIFS(G$7:G$51,B$7:B$51,17,C$7:C$51,$M$6)&lt;3),"n.a.",SUMIFS(E$7:E$51,B$7:B$51,17,C$7:C$51,$M$6)/SUMIFS(D$7:D$51,B$7:B$51,17,C$7:C$51,$M$6))</x:f>
        <x:v>0.9504264392324094</x:v>
      </x:c>
      <x:c r="N26" s="1"/>
      <x:c r="O26" s="1"/>
      <x:c r="P26" s="1"/>
    </x:row>
    <x:row r="27" ht="23" customHeight="1">
      <x:c r="A27" s="1"/>
      <x:c r="B27" s="6" t="n">
        <x:v>20</x:v>
      </x:c>
      <x:c r="C27" s="6" t="str">
        <x:v>Weekday</x:v>
      </x:c>
      <x:c r="D27" s="6" t="n">
        <x:v>4712</x:v>
      </x:c>
      <x:c r="E27" s="6" t="n">
        <x:v>4424</x:v>
      </x:c>
      <x:c r="F27" s="6" t="n">
        <x:v>53746</x:v>
      </x:c>
      <x:c r="G27" s="6" t="n">
        <x:v>2</x:v>
      </x:c>
      <x:c r="H27" s="6" t="n">
        <x:v>1072</x:v>
      </x:c>
      <x:c r="I27" s="11" t="n">
        <x:f>E27/D27</x:f>
        <x:v>0.9388794567062818</x:v>
      </x:c>
      <x:c r="J27" s="13" t="n">
        <x:f>F27/D27</x:f>
        <x:v>11.406196943972835</x:v>
      </x:c>
      <x:c r="K27" s="1"/>
      <x:c r="L27" s="1" t="str">
        <x:v>18:00</x:v>
      </x:c>
      <x:c r="M27" s="18" t="n">
        <x:f>IF(OR(SUMIFS(D$7:D$51,B$7:B$51,18,C$7:C$51,$M$6)&lt;100,SUMIFS(G$7:G$51,B$7:B$51,18,C$7:C$51,$M$6)&lt;3),"n.a.",SUMIFS(E$7:E$51,B$7:B$51,18,C$7:C$51,$M$6)/SUMIFS(D$7:D$51,B$7:B$51,18,C$7:C$51,$M$6))</x:f>
        <x:v>0.94559902200489</x:v>
      </x:c>
      <x:c r="N27" s="1"/>
      <x:c r="O27" s="1"/>
      <x:c r="P27" s="1"/>
    </x:row>
    <x:row r="28" ht="23" customHeight="1">
      <x:c r="A28" s="1"/>
      <x:c r="B28" s="6" t="n">
        <x:v>21</x:v>
      </x:c>
      <x:c r="C28" s="6" t="str">
        <x:v>Weekday</x:v>
      </x:c>
      <x:c r="D28" s="6" t="n">
        <x:v>3198</x:v>
      </x:c>
      <x:c r="E28" s="6" t="n">
        <x:v>2932</x:v>
      </x:c>
      <x:c r="F28" s="6" t="n">
        <x:v>36169</x:v>
      </x:c>
      <x:c r="G28" s="6" t="n">
        <x:v>4</x:v>
      </x:c>
      <x:c r="H28" s="6" t="n">
        <x:v>1074</x:v>
      </x:c>
      <x:c r="I28" s="11" t="n">
        <x:f>E28/D28</x:f>
        <x:v>0.9168230143839899</x:v>
      </x:c>
      <x:c r="J28" s="13" t="n">
        <x:f>F28/D28</x:f>
        <x:v>11.309881175734834</x:v>
      </x:c>
      <x:c r="K28" s="1"/>
      <x:c r="L28" s="1" t="str">
        <x:v>19:00</x:v>
      </x:c>
      <x:c r="M28" s="18" t="n">
        <x:f>IF(OR(SUMIFS(D$7:D$51,B$7:B$51,19,C$7:C$51,$M$6)&lt;100,SUMIFS(G$7:G$51,B$7:B$51,19,C$7:C$51,$M$6)&lt;3),"n.a.",SUMIFS(E$7:E$51,B$7:B$51,19,C$7:C$51,$M$6)/SUMIFS(D$7:D$51,B$7:B$51,19,C$7:C$51,$M$6))</x:f>
        <x:v>0.9373392564881926</x:v>
      </x:c>
      <x:c r="N28" s="1"/>
      <x:c r="O28" s="1"/>
      <x:c r="P28" s="1"/>
    </x:row>
    <x:row r="29" ht="23" customHeight="1">
      <x:c r="A29" s="1"/>
      <x:c r="B29" s="6" t="n">
        <x:v>22</x:v>
      </x:c>
      <x:c r="C29" s="6" t="str">
        <x:v>Weekday</x:v>
      </x:c>
      <x:c r="D29" s="6" t="n">
        <x:v>40869</x:v>
      </x:c>
      <x:c r="E29" s="6" t="n">
        <x:v>37399</x:v>
      </x:c>
      <x:c r="F29" s="6" t="n">
        <x:v>462009</x:v>
      </x:c>
      <x:c r="G29" s="6" t="n">
        <x:v>5</x:v>
      </x:c>
      <x:c r="H29" s="6" t="n">
        <x:v>1074</x:v>
      </x:c>
      <x:c r="I29" s="11" t="n">
        <x:f>E29/D29</x:f>
        <x:v>0.9150945704568255</x:v>
      </x:c>
      <x:c r="J29" s="13" t="n">
        <x:f>F29/D29</x:f>
        <x:v>11.30463187256845</x:v>
      </x:c>
      <x:c r="K29" s="1"/>
      <x:c r="L29" s="1" t="str">
        <x:v>20:00</x:v>
      </x:c>
      <x:c r="M29" s="18" t="str">
        <x:f>IF(OR(SUMIFS(D$7:D$51,B$7:B$51,20,C$7:C$51,$M$6)&lt;100,SUMIFS(G$7:G$51,B$7:B$51,20,C$7:C$51,$M$6)&lt;3),"n.a.",SUMIFS(E$7:E$51,B$7:B$51,20,C$7:C$51,$M$6)/SUMIFS(D$7:D$51,B$7:B$51,20,C$7:C$51,$M$6))</x:f>
        <x:v>n.a.</x:v>
      </x:c>
      <x:c r="N29" s="1"/>
      <x:c r="O29" s="1"/>
      <x:c r="P29" s="1"/>
    </x:row>
    <x:row r="30" ht="23" customHeight="1">
      <x:c r="A30" s="1"/>
      <x:c r="B30" s="6" t="n">
        <x:v>23</x:v>
      </x:c>
      <x:c r="C30" s="6" t="str">
        <x:v>Weekday</x:v>
      </x:c>
      <x:c r="D30" s="6" t="n">
        <x:v>64944</x:v>
      </x:c>
      <x:c r="E30" s="6" t="n">
        <x:v>59707</x:v>
      </x:c>
      <x:c r="F30" s="6" t="n">
        <x:v>733131</x:v>
      </x:c>
      <x:c r="G30" s="6" t="n">
        <x:v>6</x:v>
      </x:c>
      <x:c r="H30" s="6" t="n">
        <x:v>1074</x:v>
      </x:c>
      <x:c r="I30" s="11" t="n">
        <x:f>E30/D30</x:f>
        <x:v>0.9193612958856862</x:v>
      </x:c>
      <x:c r="J30" s="13" t="n">
        <x:f>F30/D30</x:f>
        <x:v>11.288664079822617</x:v>
      </x:c>
      <x:c r="K30" s="1"/>
      <x:c r="L30" s="1" t="str">
        <x:v>21:00</x:v>
      </x:c>
      <x:c r="M30" s="18" t="n">
        <x:f>IF(OR(SUMIFS(D$7:D$51,B$7:B$51,21,C$7:C$51,$M$6)&lt;100,SUMIFS(G$7:G$51,B$7:B$51,21,C$7:C$51,$M$6)&lt;3),"n.a.",SUMIFS(E$7:E$51,B$7:B$51,21,C$7:C$51,$M$6)/SUMIFS(D$7:D$51,B$7:B$51,21,C$7:C$51,$M$6))</x:f>
        <x:v>0.9168230143839899</x:v>
      </x:c>
      <x:c r="N30" s="1"/>
      <x:c r="O30" s="1"/>
      <x:c r="P30" s="1"/>
    </x:row>
    <x:row r="31" ht="23" customHeight="1">
      <x:c r="A31" s="1"/>
      <x:c r="B31" s="6" t="n">
        <x:v>0</x:v>
      </x:c>
      <x:c r="C31" s="6" t="str">
        <x:v>Weekend</x:v>
      </x:c>
      <x:c r="D31" s="6" t="n">
        <x:v>36839</x:v>
      </x:c>
      <x:c r="E31" s="6" t="n">
        <x:v>34523</x:v>
      </x:c>
      <x:c r="F31" s="6" t="n">
        <x:v>415358</x:v>
      </x:c>
      <x:c r="G31" s="6" t="n">
        <x:v>2</x:v>
      </x:c>
      <x:c r="H31" s="6" t="n">
        <x:v>1068</x:v>
      </x:c>
      <x:c r="I31" s="11" t="n">
        <x:f>E31/D31</x:f>
        <x:v>0.9371318439697061</x:v>
      </x:c>
      <x:c r="J31" s="13" t="n">
        <x:f>F31/D31</x:f>
        <x:v>11.274953174624718</x:v>
      </x:c>
      <x:c r="K31" s="1"/>
      <x:c r="L31" s="1" t="str">
        <x:v>22:00</x:v>
      </x:c>
      <x:c r="M31" s="18" t="n">
        <x:f>IF(OR(SUMIFS(D$7:D$51,B$7:B$51,22,C$7:C$51,$M$6)&lt;100,SUMIFS(G$7:G$51,B$7:B$51,22,C$7:C$51,$M$6)&lt;3),"n.a.",SUMIFS(E$7:E$51,B$7:B$51,22,C$7:C$51,$M$6)/SUMIFS(D$7:D$51,B$7:B$51,22,C$7:C$51,$M$6))</x:f>
        <x:v>0.9150945704568255</x:v>
      </x:c>
      <x:c r="N31" s="1"/>
      <x:c r="O31" s="1"/>
      <x:c r="P31" s="1"/>
    </x:row>
    <x:row r="32" ht="23" customHeight="1">
      <x:c r="A32" s="1"/>
      <x:c r="B32" s="6" t="n">
        <x:v>1</x:v>
      </x:c>
      <x:c r="C32" s="6" t="str">
        <x:v>Weekend</x:v>
      </x:c>
      <x:c r="D32" s="6" t="n">
        <x:v>18769</x:v>
      </x:c>
      <x:c r="E32" s="6" t="n">
        <x:v>17399</x:v>
      </x:c>
      <x:c r="F32" s="6" t="n">
        <x:v>208423</x:v>
      </x:c>
      <x:c r="G32" s="6" t="n">
        <x:v>3</x:v>
      </x:c>
      <x:c r="H32" s="6" t="n">
        <x:v>1073</x:v>
      </x:c>
      <x:c r="I32" s="11" t="n">
        <x:f>E32/D32</x:f>
        <x:v>0.927007299270073</x:v>
      </x:c>
      <x:c r="J32" s="13" t="n">
        <x:f>F32/D32</x:f>
        <x:v>11.104640630827427</x:v>
      </x:c>
      <x:c r="K32" s="1"/>
      <x:c r="L32" s="1" t="str">
        <x:v>23:00</x:v>
      </x:c>
      <x:c r="M32" s="18" t="n">
        <x:f>IF(OR(SUMIFS(D$7:D$51,B$7:B$51,23,C$7:C$51,$M$6)&lt;100,SUMIFS(G$7:G$51,B$7:B$51,23,C$7:C$51,$M$6)&lt;3),"n.a.",SUMIFS(E$7:E$51,B$7:B$51,23,C$7:C$51,$M$6)/SUMIFS(D$7:D$51,B$7:B$51,23,C$7:C$51,$M$6))</x:f>
        <x:v>0.9193612958856862</x:v>
      </x:c>
      <x:c r="N32" s="1"/>
      <x:c r="O32" s="1"/>
      <x:c r="P32" s="1"/>
    </x:row>
    <x:row r="33" ht="23" customHeight="1">
      <x:c r="A33" s="1"/>
      <x:c r="B33" s="6" t="n">
        <x:v>2</x:v>
      </x:c>
      <x:c r="C33" s="6" t="str">
        <x:v>Weekend</x:v>
      </x:c>
      <x:c r="D33" s="6" t="n">
        <x:v>17358</x:v>
      </x:c>
      <x:c r="E33" s="6" t="n">
        <x:v>16021</x:v>
      </x:c>
      <x:c r="F33" s="6" t="n">
        <x:v>191931</x:v>
      </x:c>
      <x:c r="G33" s="6" t="n">
        <x:v>2</x:v>
      </x:c>
      <x:c r="H33" s="6" t="n">
        <x:v>1073</x:v>
      </x:c>
      <x:c r="I33" s="11" t="n">
        <x:f>E33/D33</x:f>
        <x:v>0.9229749971194838</x:v>
      </x:c>
      <x:c r="J33" s="13" t="n">
        <x:f>F33/D33</x:f>
        <x:v>11.05720705150363</x:v>
      </x:c>
      <x:c r="K33" s="1"/>
      <x:c r="L33" s="1"/>
      <x:c r="M33" s="1"/>
      <x:c r="N33" s="1"/>
      <x:c r="O33" s="1"/>
      <x:c r="P33" s="1"/>
    </x:row>
    <x:row r="34" ht="23" customHeight="1">
      <x:c r="A34" s="1"/>
      <x:c r="B34" s="6" t="n">
        <x:v>4</x:v>
      </x:c>
      <x:c r="C34" s="6" t="str">
        <x:v>Weekend</x:v>
      </x:c>
      <x:c r="D34" s="6" t="n">
        <x:v>1148</x:v>
      </x:c>
      <x:c r="E34" s="6" t="n">
        <x:v>1063</x:v>
      </x:c>
      <x:c r="F34" s="6" t="n">
        <x:v>12725</x:v>
      </x:c>
      <x:c r="G34" s="6" t="n">
        <x:v>1</x:v>
      </x:c>
      <x:c r="H34" s="6" t="n">
        <x:v>1067</x:v>
      </x:c>
      <x:c r="I34" s="11" t="n">
        <x:f>E34/D34</x:f>
        <x:v>0.9259581881533101</x:v>
      </x:c>
      <x:c r="J34" s="13" t="n">
        <x:f>F34/D34</x:f>
        <x:v>11.084494773519165</x:v>
      </x:c>
      <x:c r="K34" s="1"/>
      <x:c r="L34" s="1"/>
      <x:c r="M34" s="1"/>
      <x:c r="N34" s="1"/>
      <x:c r="O34" s="1"/>
      <x:c r="P34" s="1"/>
    </x:row>
    <x:row r="35" ht="23" customHeight="1">
      <x:c r="A35" s="1"/>
      <x:c r="B35" s="6" t="n">
        <x:v>5</x:v>
      </x:c>
      <x:c r="C35" s="6" t="str">
        <x:v>Weekend</x:v>
      </x:c>
      <x:c r="D35" s="6" t="n">
        <x:v>1069</x:v>
      </x:c>
      <x:c r="E35" s="6" t="n">
        <x:v>992</x:v>
      </x:c>
      <x:c r="F35" s="6" t="n">
        <x:v>11613</x:v>
      </x:c>
      <x:c r="G35" s="6" t="n">
        <x:v>1</x:v>
      </x:c>
      <x:c r="H35" s="6" t="n">
        <x:v>1069</x:v>
      </x:c>
      <x:c r="I35" s="11" t="n">
        <x:f>E35/D35</x:f>
        <x:v>0.9279700654817586</x:v>
      </x:c>
      <x:c r="J35" s="13" t="n">
        <x:f>F35/D35</x:f>
        <x:v>10.863423760523855</x:v>
      </x:c>
      <x:c r="K35" s="1"/>
      <x:c r="L35" s="1" t="str">
        <x:v>Chart omits cells with fewer than 100 reports or 3 observed dates.</x:v>
      </x:c>
      <x:c r="M35" s="1"/>
      <x:c r="N35" s="1"/>
      <x:c r="O35" s="1"/>
      <x:c r="P35" s="1"/>
    </x:row>
    <x:row r="36" ht="23" customHeight="1">
      <x:c r="A36" s="1"/>
      <x:c r="B36" s="6" t="n">
        <x:v>6</x:v>
      </x:c>
      <x:c r="C36" s="6" t="str">
        <x:v>Weekend</x:v>
      </x:c>
      <x:c r="D36" s="6" t="n">
        <x:v>1</x:v>
      </x:c>
      <x:c r="E36" s="6" t="n">
        <x:v>1</x:v>
      </x:c>
      <x:c r="F36" s="6" t="n">
        <x:v>4</x:v>
      </x:c>
      <x:c r="G36" s="6" t="n">
        <x:v>1</x:v>
      </x:c>
      <x:c r="H36" s="6" t="n">
        <x:v>1</x:v>
      </x:c>
      <x:c r="I36" s="11" t="n">
        <x:f>E36/D36</x:f>
        <x:v>1</x:v>
      </x:c>
      <x:c r="J36" s="13" t="n">
        <x:f>F36/D36</x:f>
        <x:v>4</x:v>
      </x:c>
      <x:c r="K36" s="1"/>
      <x:c r="L36" s="1"/>
      <x:c r="M36" s="1"/>
      <x:c r="N36" s="1"/>
      <x:c r="O36" s="1"/>
      <x:c r="P36" s="1"/>
    </x:row>
    <x:row r="37" ht="23" customHeight="1">
      <x:c r="A37" s="1"/>
      <x:c r="B37" s="6" t="n">
        <x:v>8</x:v>
      </x:c>
      <x:c r="C37" s="6" t="str">
        <x:v>Weekend</x:v>
      </x:c>
      <x:c r="D37" s="6" t="n">
        <x:v>1067</x:v>
      </x:c>
      <x:c r="E37" s="6" t="n">
        <x:v>1002</x:v>
      </x:c>
      <x:c r="F37" s="6" t="n">
        <x:v>11785</x:v>
      </x:c>
      <x:c r="G37" s="6" t="n">
        <x:v>1</x:v>
      </x:c>
      <x:c r="H37" s="6" t="n">
        <x:v>1067</x:v>
      </x:c>
      <x:c r="I37" s="11" t="n">
        <x:f>E37/D37</x:f>
        <x:v>0.9390815370196813</x:v>
      </x:c>
      <x:c r="J37" s="13" t="n">
        <x:f>F37/D37</x:f>
        <x:v>11.044985941893158</x:v>
      </x:c>
      <x:c r="K37" s="1"/>
      <x:c r="L37" s="1"/>
      <x:c r="M37" s="1"/>
      <x:c r="N37" s="1"/>
      <x:c r="O37" s="1"/>
      <x:c r="P37" s="1"/>
    </x:row>
    <x:row r="38" ht="23" customHeight="1">
      <x:c r="A38" s="1"/>
      <x:c r="B38" s="6" t="n">
        <x:v>9</x:v>
      </x:c>
      <x:c r="C38" s="6" t="str">
        <x:v>Weekend</x:v>
      </x:c>
      <x:c r="D38" s="6" t="n">
        <x:v>2200</x:v>
      </x:c>
      <x:c r="E38" s="6" t="n">
        <x:v>2104</x:v>
      </x:c>
      <x:c r="F38" s="6" t="n">
        <x:v>24759</x:v>
      </x:c>
      <x:c r="G38" s="6" t="n">
        <x:v>2</x:v>
      </x:c>
      <x:c r="H38" s="6" t="n">
        <x:v>1073</x:v>
      </x:c>
      <x:c r="I38" s="11" t="n">
        <x:f>E38/D38</x:f>
        <x:v>0.9563636363636364</x:v>
      </x:c>
      <x:c r="J38" s="13" t="n">
        <x:f>F38/D38</x:f>
        <x:v>11.254090909090909</x:v>
      </x:c>
      <x:c r="K38" s="1"/>
      <x:c r="L38" s="1"/>
      <x:c r="M38" s="1"/>
      <x:c r="N38" s="1"/>
      <x:c r="O38" s="1"/>
      <x:c r="P38" s="1"/>
    </x:row>
    <x:row r="39" ht="23" customHeight="1">
      <x:c r="A39" s="1"/>
      <x:c r="B39" s="6" t="n">
        <x:v>10</x:v>
      </x:c>
      <x:c r="C39" s="6" t="str">
        <x:v>Weekend</x:v>
      </x:c>
      <x:c r="D39" s="6" t="n">
        <x:v>3840</x:v>
      </x:c>
      <x:c r="E39" s="6" t="n">
        <x:v>3649</x:v>
      </x:c>
      <x:c r="F39" s="6" t="n">
        <x:v>42902</x:v>
      </x:c>
      <x:c r="G39" s="6" t="n">
        <x:v>2</x:v>
      </x:c>
      <x:c r="H39" s="6" t="n">
        <x:v>1073</x:v>
      </x:c>
      <x:c r="I39" s="11" t="n">
        <x:f>E39/D39</x:f>
        <x:v>0.9502604166666667</x:v>
      </x:c>
      <x:c r="J39" s="13" t="n">
        <x:f>F39/D39</x:f>
        <x:v>11.172395833333333</x:v>
      </x:c>
      <x:c r="K39" s="1"/>
      <x:c r="L39" s="1"/>
      <x:c r="M39" s="1"/>
      <x:c r="N39" s="1"/>
      <x:c r="O39" s="1"/>
      <x:c r="P39" s="1"/>
    </x:row>
    <x:row r="40" ht="23" customHeight="1">
      <x:c r="A40" s="1"/>
      <x:c r="B40" s="6" t="n">
        <x:v>11</x:v>
      </x:c>
      <x:c r="C40" s="6" t="str">
        <x:v>Weekend</x:v>
      </x:c>
      <x:c r="D40" s="6" t="n">
        <x:v>7626</x:v>
      </x:c>
      <x:c r="E40" s="6" t="n">
        <x:v>7220</x:v>
      </x:c>
      <x:c r="F40" s="6" t="n">
        <x:v>85426</x:v>
      </x:c>
      <x:c r="G40" s="6" t="n">
        <x:v>1</x:v>
      </x:c>
      <x:c r="H40" s="6" t="n">
        <x:v>1068</x:v>
      </x:c>
      <x:c r="I40" s="11" t="n">
        <x:f>E40/D40</x:f>
        <x:v>0.946761080514031</x:v>
      </x:c>
      <x:c r="J40" s="13" t="n">
        <x:f>F40/D40</x:f>
        <x:v>11.20194072908471</x:v>
      </x:c>
      <x:c r="K40" s="1"/>
      <x:c r="L40" s="1"/>
      <x:c r="M40" s="1"/>
      <x:c r="N40" s="1"/>
      <x:c r="O40" s="1"/>
      <x:c r="P40" s="1"/>
    </x:row>
    <x:row r="41" ht="23" customHeight="1">
      <x:c r="A41" s="1"/>
      <x:c r="B41" s="6" t="n">
        <x:v>12</x:v>
      </x:c>
      <x:c r="C41" s="6" t="str">
        <x:v>Weekend</x:v>
      </x:c>
      <x:c r="D41" s="6" t="n">
        <x:v>29544</x:v>
      </x:c>
      <x:c r="E41" s="6" t="n">
        <x:v>28268</x:v>
      </x:c>
      <x:c r="F41" s="6" t="n">
        <x:v>333312</x:v>
      </x:c>
      <x:c r="G41" s="6" t="n">
        <x:v>1</x:v>
      </x:c>
      <x:c r="H41" s="6" t="n">
        <x:v>1069</x:v>
      </x:c>
      <x:c r="I41" s="11" t="n">
        <x:f>E41/D41</x:f>
        <x:v>0.9568101814243163</x:v>
      </x:c>
      <x:c r="J41" s="13" t="n">
        <x:f>F41/D41</x:f>
        <x:v>11.281884646628757</x:v>
      </x:c>
      <x:c r="K41" s="1"/>
      <x:c r="L41" s="1"/>
      <x:c r="M41" s="1"/>
      <x:c r="N41" s="1"/>
      <x:c r="O41" s="1"/>
      <x:c r="P41" s="1"/>
    </x:row>
    <x:row r="42" ht="23" customHeight="1">
      <x:c r="A42" s="1"/>
      <x:c r="B42" s="6" t="n">
        <x:v>13</x:v>
      </x:c>
      <x:c r="C42" s="6" t="str">
        <x:v>Weekend</x:v>
      </x:c>
      <x:c r="D42" s="6" t="n">
        <x:v>27505</x:v>
      </x:c>
      <x:c r="E42" s="6" t="n">
        <x:v>26101</x:v>
      </x:c>
      <x:c r="F42" s="6" t="n">
        <x:v>320765</x:v>
      </x:c>
      <x:c r="G42" s="6" t="n">
        <x:v>1</x:v>
      </x:c>
      <x:c r="H42" s="6" t="n">
        <x:v>1066</x:v>
      </x:c>
      <x:c r="I42" s="11" t="n">
        <x:f>E42/D42</x:f>
        <x:v>0.9489547355026359</x:v>
      </x:c>
      <x:c r="J42" s="13" t="n">
        <x:f>F42/D42</x:f>
        <x:v>11.662061443373933</x:v>
      </x:c>
      <x:c r="K42" s="1"/>
      <x:c r="L42" s="1"/>
      <x:c r="M42" s="1"/>
      <x:c r="N42" s="1"/>
      <x:c r="O42" s="1"/>
      <x:c r="P42" s="1"/>
    </x:row>
    <x:row r="43" ht="23" customHeight="1">
      <x:c r="A43" s="1"/>
      <x:c r="B43" s="6" t="n">
        <x:v>14</x:v>
      </x:c>
      <x:c r="C43" s="6" t="str">
        <x:v>Weekend</x:v>
      </x:c>
      <x:c r="D43" s="6" t="n">
        <x:v>6457</x:v>
      </x:c>
      <x:c r="E43" s="6" t="n">
        <x:v>6152</x:v>
      </x:c>
      <x:c r="F43" s="6" t="n">
        <x:v>75804</x:v>
      </x:c>
      <x:c r="G43" s="6" t="n">
        <x:v>1</x:v>
      </x:c>
      <x:c r="H43" s="6" t="n">
        <x:v>1067</x:v>
      </x:c>
      <x:c r="I43" s="11" t="n">
        <x:f>E43/D43</x:f>
        <x:v>0.9527644416911879</x:v>
      </x:c>
      <x:c r="J43" s="13" t="n">
        <x:f>F43/D43</x:f>
        <x:v>11.739817252594085</x:v>
      </x:c>
      <x:c r="K43" s="1"/>
      <x:c r="L43" s="1"/>
      <x:c r="M43" s="1"/>
      <x:c r="N43" s="1"/>
      <x:c r="O43" s="1"/>
      <x:c r="P43" s="1"/>
    </x:row>
    <x:row r="44" ht="23" customHeight="1">
      <x:c r="A44" s="1"/>
      <x:c r="B44" s="6" t="n">
        <x:v>15</x:v>
      </x:c>
      <x:c r="C44" s="6" t="str">
        <x:v>Weekend</x:v>
      </x:c>
      <x:c r="D44" s="6" t="n">
        <x:v>13638</x:v>
      </x:c>
      <x:c r="E44" s="6" t="n">
        <x:v>12945</x:v>
      </x:c>
      <x:c r="F44" s="6" t="n">
        <x:v>160206</x:v>
      </x:c>
      <x:c r="G44" s="6" t="n">
        <x:v>1</x:v>
      </x:c>
      <x:c r="H44" s="6" t="n">
        <x:v>1067</x:v>
      </x:c>
      <x:c r="I44" s="11" t="n">
        <x:f>E44/D44</x:f>
        <x:v>0.9491860976682798</x:v>
      </x:c>
      <x:c r="J44" s="13" t="n">
        <x:f>F44/D44</x:f>
        <x:v>11.747030356357238</x:v>
      </x:c>
      <x:c r="K44" s="1"/>
      <x:c r="L44" s="1"/>
      <x:c r="M44" s="1"/>
      <x:c r="N44" s="1"/>
      <x:c r="O44" s="1"/>
      <x:c r="P44" s="1"/>
    </x:row>
    <x:row r="45" ht="23" customHeight="1">
      <x:c r="A45" s="1"/>
      <x:c r="B45" s="6" t="n">
        <x:v>17</x:v>
      </x:c>
      <x:c r="C45" s="6" t="str">
        <x:v>Weekend</x:v>
      </x:c>
      <x:c r="D45" s="6" t="n">
        <x:v>2470</x:v>
      </x:c>
      <x:c r="E45" s="6" t="n">
        <x:v>2351</x:v>
      </x:c>
      <x:c r="F45" s="6" t="n">
        <x:v>29199</x:v>
      </x:c>
      <x:c r="G45" s="6" t="n">
        <x:v>1</x:v>
      </x:c>
      <x:c r="H45" s="6" t="n">
        <x:v>1066</x:v>
      </x:c>
      <x:c r="I45" s="11" t="n">
        <x:f>E45/D45</x:f>
        <x:v>0.9518218623481781</x:v>
      </x:c>
      <x:c r="J45" s="13" t="n">
        <x:f>F45/D45</x:f>
        <x:v>11.821457489878542</x:v>
      </x:c>
      <x:c r="K45" s="1"/>
      <x:c r="L45" s="1"/>
      <x:c r="M45" s="1"/>
      <x:c r="N45" s="1"/>
      <x:c r="O45" s="1"/>
      <x:c r="P45" s="1"/>
    </x:row>
    <x:row r="46" ht="23" customHeight="1">
      <x:c r="B46" s="6" t="n">
        <x:v>18</x:v>
      </x:c>
      <x:c r="C46" s="6" t="str">
        <x:v>Weekend</x:v>
      </x:c>
      <x:c r="D46" s="6" t="n">
        <x:v>2419</x:v>
      </x:c>
      <x:c r="E46" s="6" t="n">
        <x:v>2300</x:v>
      </x:c>
      <x:c r="F46" s="6" t="n">
        <x:v>28522</x:v>
      </x:c>
      <x:c r="G46" s="6" t="n">
        <x:v>2</x:v>
      </x:c>
      <x:c r="H46" s="6" t="n">
        <x:v>1067</x:v>
      </x:c>
      <x:c r="I46" s="11" t="n">
        <x:f>E46/D46</x:f>
        <x:v>0.9508061182306738</x:v>
      </x:c>
      <x:c r="J46" s="13" t="n">
        <x:f>F46/D46</x:f>
        <x:v>11.790822653989252</x:v>
      </x:c>
    </x:row>
    <x:row r="47" ht="23" customHeight="1">
      <x:c r="B47" s="6" t="n">
        <x:v>19</x:v>
      </x:c>
      <x:c r="C47" s="6" t="str">
        <x:v>Weekend</x:v>
      </x:c>
      <x:c r="D47" s="6" t="n">
        <x:v>1066</x:v>
      </x:c>
      <x:c r="E47" s="6" t="n">
        <x:v>1006</x:v>
      </x:c>
      <x:c r="F47" s="6" t="n">
        <x:v>12340</x:v>
      </x:c>
      <x:c r="G47" s="6" t="n">
        <x:v>1</x:v>
      </x:c>
      <x:c r="H47" s="6" t="n">
        <x:v>1066</x:v>
      </x:c>
      <x:c r="I47" s="11" t="n">
        <x:f>E47/D47</x:f>
        <x:v>0.9437148217636022</x:v>
      </x:c>
      <x:c r="J47" s="13" t="n">
        <x:f>F47/D47</x:f>
        <x:v>11.575984990619137</x:v>
      </x:c>
    </x:row>
    <x:row r="48" ht="23" customHeight="1">
      <x:c r="B48" s="6" t="n">
        <x:v>20</x:v>
      </x:c>
      <x:c r="C48" s="6" t="str">
        <x:v>Weekend</x:v>
      </x:c>
      <x:c r="D48" s="6" t="n">
        <x:v>408</x:v>
      </x:c>
      <x:c r="E48" s="6" t="n">
        <x:v>383</x:v>
      </x:c>
      <x:c r="F48" s="6" t="n">
        <x:v>4710</x:v>
      </x:c>
      <x:c r="G48" s="6" t="n">
        <x:v>1</x:v>
      </x:c>
      <x:c r="H48" s="6" t="n">
        <x:v>408</x:v>
      </x:c>
      <x:c r="I48" s="11" t="n">
        <x:f>E48/D48</x:f>
        <x:v>0.9387254901960784</x:v>
      </x:c>
      <x:c r="J48" s="13" t="n">
        <x:f>F48/D48</x:f>
        <x:v>11.544117647058824</x:v>
      </x:c>
    </x:row>
    <x:row r="49" ht="23" customHeight="1">
      <x:c r="B49" s="6" t="n">
        <x:v>21</x:v>
      </x:c>
      <x:c r="C49" s="6" t="str">
        <x:v>Weekend</x:v>
      </x:c>
      <x:c r="D49" s="6" t="n">
        <x:v>1068</x:v>
      </x:c>
      <x:c r="E49" s="6" t="n">
        <x:v>1000</x:v>
      </x:c>
      <x:c r="F49" s="6" t="n">
        <x:v>12075</x:v>
      </x:c>
      <x:c r="G49" s="6" t="n">
        <x:v>1</x:v>
      </x:c>
      <x:c r="H49" s="6" t="n">
        <x:v>1068</x:v>
      </x:c>
      <x:c r="I49" s="11" t="n">
        <x:f>E49/D49</x:f>
        <x:v>0.9363295880149812</x:v>
      </x:c>
      <x:c r="J49" s="13" t="n">
        <x:f>F49/D49</x:f>
        <x:v>11.3061797752809</x:v>
      </x:c>
    </x:row>
    <x:row r="50" ht="23" customHeight="1">
      <x:c r="B50" s="6" t="n">
        <x:v>22</x:v>
      </x:c>
      <x:c r="C50" s="6" t="str">
        <x:v>Weekend</x:v>
      </x:c>
      <x:c r="D50" s="6" t="n">
        <x:v>1649</x:v>
      </x:c>
      <x:c r="E50" s="6" t="n">
        <x:v>1541</x:v>
      </x:c>
      <x:c r="F50" s="6" t="n">
        <x:v>18561</x:v>
      </x:c>
      <x:c r="G50" s="6" t="n">
        <x:v>1</x:v>
      </x:c>
      <x:c r="H50" s="6" t="n">
        <x:v>1067</x:v>
      </x:c>
      <x:c r="I50" s="11" t="n">
        <x:f>E50/D50</x:f>
        <x:v>0.9345057610673135</x:v>
      </x:c>
      <x:c r="J50" s="13" t="n">
        <x:f>F50/D50</x:f>
        <x:v>11.25591267434809</x:v>
      </x:c>
    </x:row>
    <x:row r="51" ht="23" customHeight="1">
      <x:c r="B51" s="6" t="n">
        <x:v>23</x:v>
      </x:c>
      <x:c r="C51" s="6" t="str">
        <x:v>Weekend</x:v>
      </x:c>
      <x:c r="D51" s="6" t="n">
        <x:v>30243</x:v>
      </x:c>
      <x:c r="E51" s="6" t="n">
        <x:v>28414</x:v>
      </x:c>
      <x:c r="F51" s="6" t="n">
        <x:v>341585</x:v>
      </x:c>
      <x:c r="G51" s="6" t="n">
        <x:v>1</x:v>
      </x:c>
      <x:c r="H51" s="6" t="n">
        <x:v>1067</x:v>
      </x:c>
      <x:c r="I51" s="11" t="n">
        <x:f>E51/D51</x:f>
        <x:v>0.9395231954501868</x:v>
      </x:c>
      <x:c r="J51" s="13" t="n">
        <x:f>F51/D51</x:f>
        <x:v>11.29467976060576</x:v>
      </x:c>
    </x:row>
  </x:sheetData>
  <x:dataValidations count="1">
    <x:dataValidation type="list" sqref="M6">
      <x:formula1>"Weekday,Weekend"</x:formula1>
    </x:dataValidation>
  </x:dataValidations>
  <x:pageMargins left="0.7" right="0.7" top="0.75" bottom="0.75" header="0.3" footer="0.3"/>
  <x:drawing xmlns:r="http://schemas.openxmlformats.org/officeDocument/2006/relationships" r:id="R76ac28c287a147a3"/>
  <x:tableParts count="1">
    <x:tablePart xmlns:r="http://schemas.openxmlformats.org/officeDocument/2006/relationships" r:id="R2d162d5556b7464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5" hidden="0" customWidth="1"/>
    <x:col min="3" max="3" width="17" hidden="0" customWidth="1"/>
    <x:col min="4" max="4" width="19" hidden="0" customWidth="1"/>
    <x:col min="5" max="5" width="20" hidden="0" customWidth="1"/>
    <x:col min="6" max="6" width="18" hidden="0" customWidth="1"/>
    <x:col min="7" max="7" width="23" hidden="0" customWidth="1"/>
    <x:col min="8" max="8" width="22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1" customHeight="1">
      <x:c r="A2" s="1"/>
      <x:c r="B2" s="2" t="str">
        <x:v>Nearby stations during full reports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1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1"/>
      <x:c r="O3" s="1"/>
      <x:c r="P3" s="1"/>
    </x:row>
    <x:row r="4" ht="21" customHeight="1">
      <x:c r="A4" s="1"/>
      <x:c r="B4" s="4" t="str">
        <x:v>Same-feed comparison within 750 m. This is not arrival-time or sequential-backup success.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0" customHeight="1">
      <x:c r="A6" s="1"/>
      <x:c r="B6" s="10" t="str">
        <x:v>Station ID</x:v>
      </x:c>
      <x:c r="C6" s="10" t="str">
        <x:v>Full reports</x:v>
      </x:c>
      <x:c r="D6" s="10" t="str">
        <x:v>Matched nearby</x:v>
      </x:c>
      <x:c r="E6" s="10" t="str">
        <x:v>Nearby with dock</x:v>
      </x:c>
      <x:c r="F6" s="10" t="str">
        <x:v>Matched share</x:v>
      </x:c>
      <x:c r="G6" s="10" t="str">
        <x:v>Nearby availability</x:v>
      </x:c>
      <x:c r="H6" s="10" t="str">
        <x:v>Mean distance (m)</x:v>
      </x:c>
      <x:c r="I6" s="1"/>
      <x:c r="J6" s="1"/>
      <x:c r="K6" s="1"/>
      <x:c r="L6" s="1"/>
      <x:c r="M6" s="1"/>
      <x:c r="N6" s="1"/>
      <x:c r="O6" s="1"/>
      <x:c r="P6" s="1"/>
    </x:row>
    <x:row r="7" ht="23" customHeight="1">
      <x:c r="A7" s="1"/>
      <x:c r="B7" s="12" t="str">
        <x:v>7220</x:v>
      </x:c>
      <x:c r="C7" s="6" t="n">
        <x:v>375</x:v>
      </x:c>
      <x:c r="D7" s="6" t="n">
        <x:v>375</x:v>
      </x:c>
      <x:c r="E7" s="6" t="n">
        <x:v>223</x:v>
      </x:c>
      <x:c r="F7" s="11" t="n">
        <x:f>D7/C7</x:f>
        <x:v>1</x:v>
      </x:c>
      <x:c r="G7" s="11" t="n">
        <x:f>IF(D7=0,"n.a.",E7/D7)</x:f>
        <x:v>0.5946666666666667</x:v>
      </x:c>
      <x:c r="H7" s="19" t="n">
        <x:v>194.73798657090802</x:v>
      </x:c>
      <x:c r="I7" s="1"/>
      <x:c r="J7" s="1"/>
      <x:c r="K7" s="1"/>
      <x:c r="L7" s="1"/>
      <x:c r="M7" s="1"/>
      <x:c r="N7" s="1"/>
      <x:c r="O7" s="1"/>
      <x:c r="P7" s="1"/>
    </x:row>
    <x:row r="8" ht="23" customHeight="1">
      <x:c r="A8" s="1"/>
      <x:c r="B8" s="12" t="str">
        <x:v>7315</x:v>
      </x:c>
      <x:c r="C8" s="6" t="n">
        <x:v>443</x:v>
      </x:c>
      <x:c r="D8" s="6" t="n">
        <x:v>442</x:v>
      </x:c>
      <x:c r="E8" s="6" t="n">
        <x:v>219</x:v>
      </x:c>
      <x:c r="F8" s="11" t="n">
        <x:f>D8/C8</x:f>
        <x:v>0.9977426636568849</x:v>
      </x:c>
      <x:c r="G8" s="11" t="n">
        <x:f>IF(D8=0,"n.a.",E8/D8)</x:f>
        <x:v>0.49547511312217196</x:v>
      </x:c>
      <x:c r="H8" s="19" t="n">
        <x:v>255.34640620763577</x:v>
      </x:c>
      <x:c r="I8" s="1"/>
      <x:c r="J8" s="1"/>
      <x:c r="K8" s="1"/>
      <x:c r="L8" s="1"/>
      <x:c r="M8" s="1"/>
      <x:c r="N8" s="1"/>
      <x:c r="O8" s="1"/>
      <x:c r="P8" s="1"/>
    </x:row>
    <x:row r="9" ht="23" customHeight="1">
      <x:c r="A9" s="1"/>
      <x:c r="B9" s="12" t="str">
        <x:v>7341</x:v>
      </x:c>
      <x:c r="C9" s="6" t="n">
        <x:v>386</x:v>
      </x:c>
      <x:c r="D9" s="6" t="n">
        <x:v>386</x:v>
      </x:c>
      <x:c r="E9" s="6" t="n">
        <x:v>260</x:v>
      </x:c>
      <x:c r="F9" s="11" t="n">
        <x:f>D9/C9</x:f>
        <x:v>1</x:v>
      </x:c>
      <x:c r="G9" s="11" t="n">
        <x:f>IF(D9=0,"n.a.",E9/D9)</x:f>
        <x:v>0.6735751295336787</x:v>
      </x:c>
      <x:c r="H9" s="19" t="n">
        <x:v>362.45225840898223</x:v>
      </x:c>
      <x:c r="I9" s="1"/>
      <x:c r="J9" s="1"/>
      <x:c r="K9" s="1"/>
      <x:c r="L9" s="1"/>
      <x:c r="M9" s="1"/>
      <x:c r="N9" s="1"/>
      <x:c r="O9" s="1"/>
      <x:c r="P9" s="1"/>
    </x:row>
    <x:row r="10" ht="23" customHeight="1">
      <x:c r="A10" s="1"/>
      <x:c r="B10" s="12" t="str">
        <x:v>7471</x:v>
      </x:c>
      <x:c r="C10" s="6" t="n">
        <x:v>404</x:v>
      </x:c>
      <x:c r="D10" s="6" t="n">
        <x:v>404</x:v>
      </x:c>
      <x:c r="E10" s="6" t="n">
        <x:v>400</x:v>
      </x:c>
      <x:c r="F10" s="11" t="n">
        <x:f>D10/C10</x:f>
        <x:v>1</x:v>
      </x:c>
      <x:c r="G10" s="11" t="n">
        <x:f>IF(D10=0,"n.a.",E10/D10)</x:f>
        <x:v>0.9900990099009901</x:v>
      </x:c>
      <x:c r="H10" s="19" t="n">
        <x:v>351.5502571290867</x:v>
      </x:c>
      <x:c r="I10" s="1"/>
      <x:c r="J10" s="1"/>
      <x:c r="K10" s="1"/>
      <x:c r="L10" s="1"/>
      <x:c r="M10" s="1"/>
      <x:c r="N10" s="1"/>
      <x:c r="O10" s="1"/>
      <x:c r="P10" s="1"/>
    </x:row>
    <x:row r="11" ht="23" customHeight="1">
      <x:c r="A11" s="1"/>
      <x:c r="B11" s="12" t="str">
        <x:v>7478</x:v>
      </x:c>
      <x:c r="C11" s="6" t="n">
        <x:v>416</x:v>
      </x:c>
      <x:c r="D11" s="6" t="n">
        <x:v>416</x:v>
      </x:c>
      <x:c r="E11" s="6" t="n">
        <x:v>262</x:v>
      </x:c>
      <x:c r="F11" s="11" t="n">
        <x:f>D11/C11</x:f>
        <x:v>1</x:v>
      </x:c>
      <x:c r="G11" s="11" t="n">
        <x:f>IF(D11=0,"n.a.",E11/D11)</x:f>
        <x:v>0.6298076923076923</x:v>
      </x:c>
      <x:c r="H11" s="19" t="n">
        <x:v>313.0365251038283</x:v>
      </x:c>
      <x:c r="I11" s="1"/>
      <x:c r="J11" s="1"/>
      <x:c r="K11" s="1"/>
      <x:c r="L11" s="1"/>
      <x:c r="M11" s="1"/>
      <x:c r="N11" s="1"/>
      <x:c r="O11" s="1"/>
      <x:c r="P11" s="1"/>
    </x:row>
    <x:row r="12" ht="23" customHeight="1">
      <x:c r="A12" s="1"/>
      <x:c r="B12" s="12" t="str">
        <x:v>7516</x:v>
      </x:c>
      <x:c r="C12" s="6" t="n">
        <x:v>395</x:v>
      </x:c>
      <x:c r="D12" s="6" t="n">
        <x:v>395</x:v>
      </x:c>
      <x:c r="E12" s="6" t="n">
        <x:v>394</x:v>
      </x:c>
      <x:c r="F12" s="11" t="n">
        <x:f>D12/C12</x:f>
        <x:v>1</x:v>
      </x:c>
      <x:c r="G12" s="11" t="n">
        <x:f>IF(D12=0,"n.a.",E12/D12)</x:f>
        <x:v>0.9974683544303797</x:v>
      </x:c>
      <x:c r="H12" s="19" t="n">
        <x:v>145.57528201817016</x:v>
      </x:c>
      <x:c r="I12" s="1"/>
      <x:c r="J12" s="1"/>
      <x:c r="K12" s="1"/>
      <x:c r="L12" s="1"/>
      <x:c r="M12" s="1"/>
      <x:c r="N12" s="1"/>
      <x:c r="O12" s="1"/>
      <x:c r="P12" s="1"/>
    </x:row>
    <x:row r="13" ht="23" customHeight="1">
      <x:c r="A13" s="1"/>
      <x:c r="B13" s="12" t="str">
        <x:v>7571</x:v>
      </x:c>
      <x:c r="C13" s="6" t="n">
        <x:v>353</x:v>
      </x:c>
      <x:c r="D13" s="6" t="n">
        <x:v>353</x:v>
      </x:c>
      <x:c r="E13" s="6" t="n">
        <x:v>167</x:v>
      </x:c>
      <x:c r="F13" s="11" t="n">
        <x:f>D13/C13</x:f>
        <x:v>1</x:v>
      </x:c>
      <x:c r="G13" s="11" t="n">
        <x:f>IF(D13=0,"n.a.",E13/D13)</x:f>
        <x:v>0.4730878186968839</x:v>
      </x:c>
      <x:c r="H13" s="19" t="n">
        <x:v>279.6863144147955</x:v>
      </x:c>
      <x:c r="I13" s="1"/>
      <x:c r="J13" s="1"/>
      <x:c r="K13" s="1"/>
      <x:c r="L13" s="1"/>
      <x:c r="M13" s="1"/>
      <x:c r="N13" s="1"/>
      <x:c r="O13" s="1"/>
      <x:c r="P13" s="1"/>
    </x:row>
    <x:row r="14" ht="23" customHeight="1">
      <x:c r="A14" s="1"/>
      <x:c r="B14" s="12" t="str">
        <x:v>7695</x:v>
      </x:c>
      <x:c r="C14" s="6" t="n">
        <x:v>376</x:v>
      </x:c>
      <x:c r="D14" s="6" t="n">
        <x:v>376</x:v>
      </x:c>
      <x:c r="E14" s="6" t="n">
        <x:v>290</x:v>
      </x:c>
      <x:c r="F14" s="11" t="n">
        <x:f>D14/C14</x:f>
        <x:v>1</x:v>
      </x:c>
      <x:c r="G14" s="11" t="n">
        <x:f>IF(D14=0,"n.a.",E14/D14)</x:f>
        <x:v>0.7712765957446809</x:v>
      </x:c>
      <x:c r="H14" s="19" t="n">
        <x:v>343.831192611906</x:v>
      </x:c>
      <x:c r="I14" s="1"/>
      <x:c r="J14" s="1"/>
      <x:c r="K14" s="1"/>
      <x:c r="L14" s="1"/>
      <x:c r="M14" s="1"/>
      <x:c r="N14" s="1"/>
      <x:c r="O14" s="1"/>
      <x:c r="P14" s="1"/>
    </x:row>
    <x:row r="15" ht="23" customHeight="1">
      <x:c r="A15" s="1"/>
      <x:c r="B15" s="12" t="str">
        <x:v>7932</x:v>
      </x:c>
      <x:c r="C15" s="6" t="n">
        <x:v>352</x:v>
      </x:c>
      <x:c r="D15" s="6" t="n">
        <x:v>352</x:v>
      </x:c>
      <x:c r="E15" s="6" t="n">
        <x:v>154</x:v>
      </x:c>
      <x:c r="F15" s="11" t="n">
        <x:f>D15/C15</x:f>
        <x:v>1</x:v>
      </x:c>
      <x:c r="G15" s="11" t="n">
        <x:f>IF(D15=0,"n.a.",E15/D15)</x:f>
        <x:v>0.4375</x:v>
      </x:c>
      <x:c r="H15" s="19" t="n">
        <x:v>94.3735589718563</x:v>
      </x:c>
      <x:c r="I15" s="1"/>
      <x:c r="J15" s="1"/>
      <x:c r="K15" s="1"/>
      <x:c r="L15" s="1"/>
      <x:c r="M15" s="1"/>
      <x:c r="N15" s="1"/>
      <x:c r="O15" s="1"/>
      <x:c r="P15" s="1"/>
    </x:row>
    <x:row r="16" ht="23" customHeight="1">
      <x:c r="A16" s="1"/>
      <x:c r="B16" s="12" t="str">
        <x:v>8018</x:v>
      </x:c>
      <x:c r="C16" s="6" t="n">
        <x:v>366</x:v>
      </x:c>
      <x:c r="D16" s="6" t="n">
        <x:v>366</x:v>
      </x:c>
      <x:c r="E16" s="6" t="n">
        <x:v>255</x:v>
      </x:c>
      <x:c r="F16" s="11" t="n">
        <x:f>D16/C16</x:f>
        <x:v>1</x:v>
      </x:c>
      <x:c r="G16" s="11" t="n">
        <x:f>IF(D16=0,"n.a.",E16/D16)</x:f>
        <x:v>0.6967213114754098</x:v>
      </x:c>
      <x:c r="H16" s="19" t="n">
        <x:v>228.13474186688646</x:v>
      </x:c>
      <x:c r="I16" s="1"/>
      <x:c r="J16" s="1"/>
      <x:c r="K16" s="1"/>
      <x:c r="L16" s="1"/>
      <x:c r="M16" s="1"/>
      <x:c r="N16" s="1"/>
      <x:c r="O16" s="1"/>
      <x:c r="P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1" customHeight="1">
      <x:c r="A21" s="1"/>
      <x:c r="B21" s="1" t="str">
        <x:v>Selection: 10 highest full-rate stations meeting the declared support threshold.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1" customHeight="1">
      <x:c r="A23" s="1"/>
      <x:c r="B23" s="1" t="str">
        <x:v>Nearest fresh operational neighbor is selected by distance, not by dock count.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1" customHeight="1">
      <x:c r="A25" s="1"/>
      <x:c r="B25" s="1" t="str">
        <x:v>Unmatched reports remain visible in the denominator. No independence assumption is used.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</x:sheetData>
  <x:pageMargins left="0.7" right="0.7" top="0.75" bottom="0.75" header="0.3" footer="0.3"/>
  <x:tableParts count="1">
    <x:tablePart xmlns:r="http://schemas.openxmlformats.org/officeDocument/2006/relationships" r:id="R4462ee521bb1413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5" topLeftCell="A56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19" hidden="0" customWidth="1"/>
    <x:col min="4" max="4" width="20" hidden="0" customWidth="1"/>
    <x:col min="5" max="5" width="18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1" customHeight="1">
      <x:c r="A2" s="1"/>
      <x:c r="B2" s="2" t="str">
        <x:v>Source quality and exclusions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1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1"/>
      <x:c r="O3" s="1"/>
      <x:c r="P3" s="1"/>
    </x:row>
    <x:row r="4" ht="21" customHeight="1">
      <x:c r="A4" s="1"/>
      <x:c r="B4" s="4" t="str">
        <x:v>Frozen SQL counts. These are report observations, not rider trips.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0" customHeight="1">
      <x:c r="A6" s="1"/>
      <x:c r="B6" s="10" t="str">
        <x:v>SQL metric</x:v>
      </x:c>
      <x:c r="C6" s="10" t="str">
        <x:v>Count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3" customHeight="1">
      <x:c r="A7" s="1"/>
      <x:c r="B7" s="6" t="str">
        <x:v>raw_rows</x:v>
      </x:c>
      <x:c r="C7" s="6" t="n">
        <x:v>1628401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3" customHeight="1">
      <x:c r="A8" s="1"/>
      <x:c r="B8" s="6" t="str">
        <x:v>canonical_rows</x:v>
      </x:c>
      <x:c r="C8" s="6" t="n">
        <x:v>1628340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3" customHeight="1">
      <x:c r="A9" s="1"/>
      <x:c r="B9" s="6" t="str">
        <x:v>missing_report_time</x:v>
      </x:c>
      <x:c r="C9" s="6" t="n">
        <x:v>0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3" customHeight="1">
      <x:c r="A10" s="1"/>
      <x:c r="B10" s="6" t="str">
        <x:v>unique_reports</x:v>
      </x:c>
      <x:c r="C10" s="6" t="n">
        <x:v>840383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3" customHeight="1">
      <x:c r="A11" s="1"/>
      <x:c r="B11" s="6" t="str">
        <x:v>stale_unique_reports</x:v>
      </x:c>
      <x:c r="C11" s="6" t="n">
        <x:v>100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3" customHeight="1">
      <x:c r="A12" s="1"/>
      <x:c r="B12" s="6" t="str">
        <x:v>fresh_unique_reports</x:v>
      </x:c>
      <x:c r="C12" s="6" t="n">
        <x:v>840283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3" customHeight="1">
      <x:c r="A13" s="1"/>
      <x:c r="B13" s="6" t="str">
        <x:v>nonoperational_or_unknown_reports</x:v>
      </x:c>
      <x:c r="C13" s="6" t="n">
        <x:v>0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3" customHeight="1">
      <x:c r="A14" s="1"/>
      <x:c r="B14" s="6" t="str">
        <x:v>missing_docks</x:v>
      </x:c>
      <x:c r="C14" s="6" t="n">
        <x:v>0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3" customHeight="1">
      <x:c r="A15" s="1"/>
      <x:c r="B15" s="6" t="str">
        <x:v>eligible_reports</x:v>
      </x:c>
      <x:c r="C15" s="6" t="n">
        <x:v>840283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3" customHeight="1">
      <x:c r="A16" s="1"/>
      <x:c r="B16" s="6" t="str">
        <x:v>available_reports</x:v>
      </x:c>
      <x:c r="C16" s="6" t="n">
        <x:v>790386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3" customHeight="1">
      <x:c r="A17" s="1"/>
      <x:c r="B17" s="6" t="str">
        <x:v>full_reports</x:v>
      </x:c>
      <x:c r="C17" s="6" t="n">
        <x:v>49897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3" customHeight="1">
      <x:c r="A18" s="1"/>
      <x:c r="B18" s="6" t="str">
        <x:v>docks_sum</x:v>
      </x:c>
      <x:c r="C18" s="6" t="n">
        <x:v>9736135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3" customHeight="1">
      <x:c r="A19" s="1"/>
      <x:c r="B19" s="6" t="str">
        <x:v>eligible_stations</x:v>
      </x:c>
      <x:c r="C19" s="6" t="n">
        <x:v>1075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3" customHeight="1">
      <x:c r="A20" s="1"/>
      <x:c r="B20" s="6" t="str">
        <x:v>observed_days</x:v>
      </x:c>
      <x:c r="C20" s="6" t="n">
        <x:v>11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3" customHeight="1">
      <x:c r="A21" s="1"/>
      <x:c r="B21" s="6" t="str">
        <x:v>expected_minutes</x:v>
      </x:c>
      <x:c r="C21" s="6" t="n">
        <x:v>44525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3" customHeight="1">
      <x:c r="A22" s="1"/>
      <x:c r="B22" s="6" t="str">
        <x:v>attempted_minutes</x:v>
      </x:c>
      <x:c r="C22" s="6" t="n">
        <x:v>1747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6" t="str">
        <x:v>successful_minutes</x:v>
      </x:c>
      <x:c r="C23" s="6" t="n">
        <x:v>1503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1"/>
      <x:c r="B24" s="6" t="str">
        <x:v>partial_minutes</x:v>
      </x:c>
      <x:c r="C24" s="6" t="n">
        <x:v>203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/>
      <x:c r="B25" s="6" t="str">
        <x:v>failed_minutes</x:v>
      </x:c>
      <x:c r="C25" s="6" t="n">
        <x:v>41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/>
      <x:c r="B26" s="6" t="str">
        <x:v>missing_metadata_reports</x:v>
      </x:c>
      <x:c r="C26" s="6" t="n">
        <x:v>0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/>
      <x:c r="B27" s="6" t="str">
        <x:v>invalid_local_location_reports</x:v>
      </x:c>
      <x:c r="C27" s="6" t="n">
        <x:v>1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/>
      <x:c r="B28" s="6" t="str">
        <x:v>unknown_or_zero_capacity_reports</x:v>
      </x:c>
      <x:c r="C28" s="6" t="n">
        <x:v>99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/>
      <x:c r="B29" s="6" t="str">
        <x:v>docks_exceed_capacity_reports</x:v>
      </x:c>
      <x:c r="C29" s="6" t="n">
        <x:v>1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/>
      <x:c r="B30" s="6" t="str">
        <x:v>conflicting_report_timestamps</x:v>
      </x:c>
      <x:c r="C30" s="6" t="n">
        <x:v>31070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6" t="str">
        <x:v>quarantined_records</x:v>
      </x:c>
      <x:c r="C31" s="6" t="n">
        <x:v>198740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1" customHeight="1">
      <x:c r="A33" s="1"/>
      <x:c r="B33" s="1" t="str">
        <x:v>Freshness sensitivity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40" customHeight="1">
      <x:c r="A35" s="1"/>
      <x:c r="B35" s="10" t="str">
        <x:v>Freshness limit (s)</x:v>
      </x:c>
      <x:c r="C35" s="10" t="str">
        <x:v>Eligible reports</x:v>
      </x:c>
      <x:c r="D35" s="10" t="str">
        <x:v>Available reports</x:v>
      </x:c>
      <x:c r="E35" s="10" t="str">
        <x:v>Availability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/>
      <x:c r="B36" s="6" t="n">
        <x:v>60</x:v>
      </x:c>
      <x:c r="C36" s="6" t="n">
        <x:v>679157</x:v>
      </x:c>
      <x:c r="D36" s="6" t="n">
        <x:v>639262</x:v>
      </x:c>
      <x:c r="E36" s="11" t="n">
        <x:f>D36/C36</x:f>
        <x:v>0.9412580596239161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/>
      <x:c r="B37" s="6" t="n">
        <x:v>120</x:v>
      </x:c>
      <x:c r="C37" s="6" t="n">
        <x:v>823378</x:v>
      </x:c>
      <x:c r="D37" s="6" t="n">
        <x:v>774530</x:v>
      </x:c>
      <x:c r="E37" s="11" t="n">
        <x:f>D37/C37</x:f>
        <x:v>0.9406736638579122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6" t="n">
        <x:v>300</x:v>
      </x:c>
      <x:c r="C38" s="6" t="n">
        <x:v>840283</x:v>
      </x:c>
      <x:c r="D38" s="6" t="n">
        <x:v>790386</x:v>
      </x:c>
      <x:c r="E38" s="11" t="n">
        <x:f>D38/C38</x:f>
        <x:v>0.9406188153276932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1" customHeight="1">
      <x:c r="A42" s="1"/>
      <x:c r="B42" s="1" t="str">
        <x:v>Reconciliation residuals (must equal zero)</x:v>
      </x:c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1" customHeight="1">
      <x:c r="A43" s="1"/>
      <x:c r="B43" s="1" t="str">
        <x:v>Station reports vs SQL quality</x:v>
      </x:c>
      <x:c r="C43" s="1" t="n">
        <x:f>SUM('Stations'!D7:D1081)-'Source QA'!C15</x:f>
        <x:v>0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1" customHeight="1">
      <x:c r="A44" s="1"/>
      <x:c r="B44" s="1" t="str">
        <x:v>Daily available vs SQL quality</x:v>
      </x:c>
      <x:c r="C44" s="1" t="n">
        <x:f>SUM('Daily coverage'!I7:I38)-'Source QA'!C16</x:f>
        <x:v>0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1" customHeight="1">
      <x:c r="A45" s="1"/>
      <x:c r="B45" s="1" t="str">
        <x:v>Hourly reports vs SQL quality</x:v>
      </x:c>
      <x:c r="C45" s="1" t="n">
        <x:f>SUM('Time patterns'!D7:D51)-'Source QA'!C15</x:f>
        <x:v>0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7">
      <x:c r="B47" t="str">
        <x:v>Conflicting timestamp sensitivity</x:v>
      </x:c>
    </x:row>
    <x:row r="49" ht="40" customHeight="1">
      <x:c r="B49" s="10" t="str">
        <x:v>Rule</x:v>
      </x:c>
      <x:c r="C49" s="10" t="str">
        <x:v>Reports</x:v>
      </x:c>
      <x:c r="D49" s="10" t="str">
        <x:v>Available</x:v>
      </x:c>
      <x:c r="E49" s="10" t="str">
        <x:v>Availability</x:v>
      </x:c>
    </x:row>
    <x:row r="50" ht="23" customHeight="1">
      <x:c r="B50" s="6" t="str">
        <x:v>Exclude same-timestamp conflicts</x:v>
      </x:c>
      <x:c r="C50" s="6" t="n">
        <x:v>809223</x:v>
      </x:c>
      <x:c r="D50" s="6" t="n">
        <x:v>760397</x:v>
      </x:c>
      <x:c r="E50" s="11" t="n">
        <x:f>D50/C50</x:f>
        <x:v>0.93966310893289</x:v>
      </x:c>
    </x:row>
    <x:row r="53">
      <x:c r="B53" t="str">
        <x:v>Quarantine reasons (record/code counts; do not add overlapping codes)</x:v>
      </x:c>
    </x:row>
    <x:row r="55" ht="40" customHeight="1">
      <x:c r="B55" s="10" t="str">
        <x:v>Reason</x:v>
      </x:c>
      <x:c r="C55" s="10" t="str">
        <x:v>Records</x:v>
      </x:c>
    </x:row>
    <x:row r="56" ht="23" customHeight="1">
      <x:c r="B56" s="6" t="str">
        <x:v>future_last_reported</x:v>
      </x:c>
      <x:c r="C56" s="6" t="n">
        <x:v>198740</x:v>
      </x:c>
    </x:row>
  </x:sheetData>
  <x:conditionalFormatting sqref="C43:C45">
    <x:cfRule type="cellIs" dxfId="0" priority="1" operator="notEqual">
      <x:formula>0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e687f2c1727a45ca"/>
    <x:tablePart xmlns:r="http://schemas.openxmlformats.org/officeDocument/2006/relationships" r:id="R9b50abc28a994edc"/>
    <x:tablePart xmlns:r="http://schemas.openxmlformats.org/officeDocument/2006/relationships" r:id="Re93743cf7c9a486a"/>
    <x:tablePart xmlns:r="http://schemas.openxmlformats.org/officeDocument/2006/relationships" r:id="R1f0c15665dfe41bc"/>
  </x:tableParts>
</x:worksheet>
</file>

<file path=xl/worksheets/sheet7.xml><?xml version="1.0" encoding="utf-8"?>
<x:worksheet xmlns:x="http://schemas.openxmlformats.org/spreadsheetml/2006/main">
  <x:sheetPr>
    <x:tabColor rgb="FFA6AAA6"/>
  </x:sheetPr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115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1" customHeight="1">
      <x:c r="A2" s="1"/>
      <x:c r="B2" s="2" t="str">
        <x:v>Methods, provenance and refresh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1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1"/>
      <x:c r="O3" s="1"/>
      <x:c r="P3" s="1"/>
    </x:row>
    <x:row r="4" ht="21" customHeight="1">
      <x:c r="A4" s="1"/>
      <x:c r="B4" s="4" t="str">
        <x:v>Ian Lin | Dockside portfolio analysis | Version 1.0.0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5" customHeight="1">
      <x:c r="A6" s="1"/>
      <x:c r="B6" s="25" t="str">
        <x:v>Source</x:v>
      </x:c>
      <x:c r="C6" s="25" t="str">
        <x:v>Self-collected Bike Share Toronto GBFS v3 station status; live provenance only.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35" customHeight="1">
      <x:c r="A7" s="1"/>
      <x:c r="B7" s="25" t="str">
        <x:v>Source URL</x:v>
      </x:c>
      <x:c r="C7" s="25" t="str">
        <x:v>https://toronto.publicbikesystem.net/customer/gbfs/v3.0/gbfs.json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35" customHeight="1">
      <x:c r="A8" s="1"/>
      <x:c r="B8" s="25" t="str">
        <x:v>Period (UTC)</x:v>
      </x:c>
      <x:c r="C8" s="25" t="str">
        <x:v>2026-09-16T18:55:00+00:00 to 2026-10-17T17:00:00+00:00 (exclusive)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35" customHeight="1">
      <x:c r="A9" s="1"/>
      <x:c r="B9" s="25" t="str">
        <x:v>Local calendar</x:v>
      </x:c>
      <x:c r="C9" s="25" t="str">
        <x:v>America/Toronto; UTC remains the ordering key. First/last local dates are partial.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35" customHeight="1">
      <x:c r="A10" s="1"/>
      <x:c r="B10" s="25" t="str">
        <x:v>Observation unit</x:v>
      </x:c>
      <x:c r="C10" s="25" t="str">
        <x:v>First canonical retrieval per station and source report timestamp within the study window.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35" customHeight="1">
      <x:c r="A11" s="1"/>
      <x:c r="B11" s="25" t="str">
        <x:v>Freshness</x:v>
      </x:c>
      <x:c r="C11" s="25" t="str">
        <x:v>Report age at retrieval between -30 and 300 seconds. Sensitivity: 60, 120, 300 seconds.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35" customHeight="1">
      <x:c r="A12" s="1"/>
      <x:c r="B12" s="25" t="str">
        <x:v>Eligibility</x:v>
      </x:c>
      <x:c r="C12" s="25" t="str">
        <x:v>Installed, accepting returns, known dock count. Reported usable docks are authoritative.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35" customHeight="1">
      <x:c r="A13" s="1"/>
      <x:c r="B13" s="25" t="str">
        <x:v>Main rate</x:v>
      </x:c>
      <x:c r="C13" s="25" t="str">
        <x:v>Reports with at least one dock / eligible reports. No filling or time-weighting across gaps.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35" customHeight="1">
      <x:c r="A14" s="1"/>
      <x:c r="B14" s="25" t="str">
        <x:v>Poll coverage</x:v>
      </x:c>
      <x:c r="C14" s="25" t="str">
        <x:v>Minutes with a successful batch / all expected 60-second slots, including unattempted slots.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35" customHeight="1">
      <x:c r="A15" s="1"/>
      <x:c r="B15" s="25" t="str">
        <x:v>Metadata</x:v>
      </x:c>
      <x:c r="C15" s="25" t="str">
        <x:v>Joined through the metadata version stored with the snapshot, not today’s station metadata.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35" customHeight="1">
      <x:c r="A16" s="1"/>
      <x:c r="B16" s="25" t="str">
        <x:v>Station name</x:v>
      </x:c>
      <x:c r="C16" s="25" t="str">
        <x:v>Last eligible observed name within the window; station IDs remain strings.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35" customHeight="1">
      <x:c r="A17" s="1"/>
      <x:c r="B17" s="25" t="str">
        <x:v>Ranking support</x:v>
      </x:c>
      <x:c r="C17" s="25" t="str">
        <x:v>At least 100 eligible unique reports on at least 5 dates. This is not a validation gate.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35" customHeight="1">
      <x:c r="A18" s="1"/>
      <x:c r="B18" s="25" t="str">
        <x:v>Nearby comparison</x:v>
      </x:c>
      <x:c r="C18" s="25" t="str">
        <x:v>Nearest fresh operational station in the same feed within 750 m, while the primary is full.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35" customHeight="1">
      <x:c r="A19" s="1"/>
      <x:c r="B19" s="25" t="str">
        <x:v>Limitations</x:v>
      </x:c>
      <x:c r="C19" s="25" t="str">
        <x:v>Sparse nonrandom collection; report updates are correlated and may favor changing inventory.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35" customHeight="1">
      <x:c r="A20" s="1"/>
      <x:c r="B20" s="25" t="str">
        <x:v>No causal claims</x:v>
      </x:c>
      <x:c r="C20" s="25" t="str">
        <x:v>Inventory does not identify trips, demand or rebalancing. No validated forecast or rider trial.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35" customHeight="1">
      <x:c r="A21" s="1"/>
      <x:c r="B21" s="25" t="str">
        <x:v>Workbook refresh</x:v>
      </x:c>
      <x:c r="C21" s="25" t="str">
        <x:v>Frozen snapshot. Rerun export.py and this builder to refresh; no embedded database connection.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35" customHeight="1">
      <x:c r="A22" s="1"/>
      <x:c r="B22" s="25" t="str">
        <x:v>Excel tools</x:v>
      </x:c>
      <x:c r="C22" s="25" t="str">
        <x:v>Native tables, filters, formulas, dropdowns and charts. No PivotTable or slicer is claimed.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35" customHeight="1">
      <x:c r="A23" s="1"/>
      <x:c r="B23" s="25" t="str">
        <x:v>Reproduction</x:v>
      </x:c>
      <x:c r="C23" s="25" t="str">
        <x:v>GitHub: ianlin1222/toronto-bike-share-dashboard, analysis/portfolio/README.md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35" customHeight="1">
      <x:c r="A24" s="1"/>
      <x:c r="B24" s="25" t="str">
        <x:v>Data license</x:v>
      </x:c>
      <x:c r="C24" s="25" t="str">
        <x:v>Contains information licensed under the Open Government Licence – Toronto.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35" customHeight="1">
      <x:c r="A25" s="1"/>
      <x:c r="B25" s="25" t="str">
        <x:v>License URL</x:v>
      </x:c>
      <x:c r="C25" s="25" t="str">
        <x:v>https://www.toronto.ca/city-government/data-research-maps/open-data/open-data-licence/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</x:sheetData>
  <x:pageMargins left="0.7" right="0.7" top="0.75" bottom="0.75" header="0.3" footer="0.3"/>
</x:worksheet>
</file>